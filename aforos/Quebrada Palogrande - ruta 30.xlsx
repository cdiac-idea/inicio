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firstSheet="1" activeTab="2"/>
  </bookViews>
  <sheets>
    <sheet name="Planta y sección típica" sheetId="1" r:id="rId1"/>
    <sheet name="Aforo 1" sheetId="72" r:id="rId2"/>
    <sheet name="Aforo 2" sheetId="73" r:id="rId3"/>
  </sheets>
  <definedNames>
    <definedName name="_xlnm.Print_Area" localSheetId="1">'Aforo 1'!$B$1:$P$103</definedName>
    <definedName name="_xlnm.Print_Area" localSheetId="2">'Aforo 2'!$B$1:$P$103</definedName>
    <definedName name="_xlnm.Print_Titles" localSheetId="1">'Aforo 1'!$16:$17</definedName>
    <definedName name="_xlnm.Print_Titles" localSheetId="2">'Aforo 2'!$16:$17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2" i="73" l="1"/>
  <c r="O91" i="73"/>
  <c r="G68" i="73"/>
  <c r="G67" i="73"/>
  <c r="G66" i="73"/>
  <c r="G65" i="73"/>
  <c r="K64" i="73"/>
  <c r="G63" i="73"/>
  <c r="G62" i="73"/>
  <c r="G61" i="73"/>
  <c r="G60" i="73"/>
  <c r="K59" i="73"/>
  <c r="G58" i="73"/>
  <c r="G57" i="73"/>
  <c r="G56" i="73"/>
  <c r="G55" i="73"/>
  <c r="K54" i="73"/>
  <c r="G53" i="73"/>
  <c r="G52" i="73"/>
  <c r="G51" i="73"/>
  <c r="G50" i="73"/>
  <c r="K49" i="73"/>
  <c r="G48" i="73"/>
  <c r="G47" i="73"/>
  <c r="G46" i="73"/>
  <c r="G45" i="73"/>
  <c r="K44" i="73"/>
  <c r="G43" i="73"/>
  <c r="G42" i="73"/>
  <c r="G41" i="73"/>
  <c r="G40" i="73"/>
  <c r="K39" i="73"/>
  <c r="G38" i="73"/>
  <c r="G37" i="73"/>
  <c r="G36" i="73"/>
  <c r="G35" i="73"/>
  <c r="K34" i="73"/>
  <c r="G33" i="73"/>
  <c r="G32" i="73"/>
  <c r="G31" i="73"/>
  <c r="G30" i="73"/>
  <c r="K29" i="73"/>
  <c r="G28" i="73"/>
  <c r="G27" i="73"/>
  <c r="G26" i="73"/>
  <c r="G25" i="73"/>
  <c r="K24" i="73"/>
  <c r="G23" i="73"/>
  <c r="G22" i="73"/>
  <c r="G21" i="73"/>
  <c r="G20" i="73"/>
  <c r="K19" i="73"/>
  <c r="C18" i="73"/>
  <c r="C19" i="73" s="1"/>
  <c r="L19" i="73" l="1"/>
  <c r="C24" i="73"/>
  <c r="C29" i="73" l="1"/>
  <c r="L24" i="73"/>
  <c r="M24" i="73" s="1"/>
  <c r="M19" i="73"/>
  <c r="C34" i="73" l="1"/>
  <c r="L29" i="73"/>
  <c r="L34" i="73" l="1"/>
  <c r="M34" i="73" s="1"/>
  <c r="C39" i="73"/>
  <c r="M29" i="73"/>
  <c r="L39" i="73" l="1"/>
  <c r="C44" i="73"/>
  <c r="C49" i="73" l="1"/>
  <c r="L44" i="73"/>
  <c r="M44" i="73" s="1"/>
  <c r="M39" i="73"/>
  <c r="L49" i="73" l="1"/>
  <c r="C54" i="73"/>
  <c r="M49" i="73" l="1"/>
  <c r="L54" i="73"/>
  <c r="M54" i="73" s="1"/>
  <c r="C59" i="73"/>
  <c r="L64" i="73" l="1"/>
  <c r="M64" i="73" s="1"/>
  <c r="L59" i="73"/>
  <c r="M59" i="73" s="1"/>
  <c r="L88" i="73"/>
  <c r="M88" i="73"/>
  <c r="N59" i="73" l="1"/>
  <c r="K88" i="73"/>
  <c r="N19" i="73"/>
  <c r="N24" i="73"/>
  <c r="N29" i="73"/>
  <c r="N34" i="73"/>
  <c r="N39" i="73"/>
  <c r="N44" i="73"/>
  <c r="N64" i="73"/>
  <c r="N49" i="73"/>
  <c r="N54" i="73"/>
  <c r="N88" i="73" l="1"/>
  <c r="O92" i="72" l="1"/>
  <c r="O91" i="72"/>
  <c r="G68" i="72"/>
  <c r="G67" i="72"/>
  <c r="G66" i="72"/>
  <c r="G65" i="72"/>
  <c r="K64" i="72"/>
  <c r="G63" i="72"/>
  <c r="G62" i="72"/>
  <c r="G61" i="72"/>
  <c r="G60" i="72"/>
  <c r="K59" i="72"/>
  <c r="G58" i="72"/>
  <c r="G57" i="72"/>
  <c r="G56" i="72"/>
  <c r="G55" i="72"/>
  <c r="K54" i="72"/>
  <c r="G53" i="72"/>
  <c r="G52" i="72"/>
  <c r="G51" i="72"/>
  <c r="G50" i="72"/>
  <c r="K49" i="72"/>
  <c r="G48" i="72"/>
  <c r="G47" i="72"/>
  <c r="G46" i="72"/>
  <c r="G45" i="72"/>
  <c r="K44" i="72"/>
  <c r="G43" i="72"/>
  <c r="G42" i="72"/>
  <c r="G41" i="72"/>
  <c r="G40" i="72"/>
  <c r="K39" i="72"/>
  <c r="G38" i="72"/>
  <c r="G37" i="72"/>
  <c r="G36" i="72"/>
  <c r="G35" i="72"/>
  <c r="K34" i="72"/>
  <c r="G33" i="72"/>
  <c r="G32" i="72"/>
  <c r="G31" i="72"/>
  <c r="G30" i="72"/>
  <c r="K29" i="72"/>
  <c r="G28" i="72"/>
  <c r="G27" i="72"/>
  <c r="G26" i="72"/>
  <c r="G25" i="72"/>
  <c r="K24" i="72"/>
  <c r="G23" i="72"/>
  <c r="G22" i="72"/>
  <c r="G21" i="72"/>
  <c r="G20" i="72"/>
  <c r="K19" i="72"/>
  <c r="C18" i="72"/>
  <c r="C19" i="72" s="1"/>
  <c r="L19" i="72" l="1"/>
  <c r="C24" i="72"/>
  <c r="C29" i="72" l="1"/>
  <c r="L24" i="72"/>
  <c r="M24" i="72" s="1"/>
  <c r="M19" i="72"/>
  <c r="C34" i="72" l="1"/>
  <c r="L29" i="72"/>
  <c r="L34" i="72" l="1"/>
  <c r="M34" i="72" s="1"/>
  <c r="C39" i="72"/>
  <c r="M29" i="72"/>
  <c r="L39" i="72" l="1"/>
  <c r="C44" i="72"/>
  <c r="C49" i="72" l="1"/>
  <c r="L44" i="72"/>
  <c r="M44" i="72" s="1"/>
  <c r="M39" i="72"/>
  <c r="C54" i="72" l="1"/>
  <c r="L49" i="72"/>
  <c r="L54" i="72" l="1"/>
  <c r="M54" i="72" s="1"/>
  <c r="C59" i="72"/>
  <c r="M49" i="72"/>
  <c r="L64" i="72" l="1"/>
  <c r="M64" i="72" s="1"/>
  <c r="L59" i="72"/>
  <c r="M59" i="72" l="1"/>
  <c r="L88" i="72"/>
  <c r="M88" i="72" l="1"/>
  <c r="K88" i="72" l="1"/>
  <c r="N19" i="72"/>
  <c r="N24" i="72"/>
  <c r="N34" i="72"/>
  <c r="N29" i="72"/>
  <c r="N44" i="72"/>
  <c r="N39" i="72"/>
  <c r="N49" i="72"/>
  <c r="N54" i="72"/>
  <c r="N64" i="72"/>
  <c r="N59" i="72"/>
  <c r="N88" i="72" l="1"/>
</calcChain>
</file>

<file path=xl/sharedStrings.xml><?xml version="1.0" encoding="utf-8"?>
<sst xmlns="http://schemas.openxmlformats.org/spreadsheetml/2006/main" count="325" uniqueCount="116">
  <si>
    <t>Fecha</t>
  </si>
  <si>
    <t>Proyecto</t>
  </si>
  <si>
    <t>Lugar medición</t>
  </si>
  <si>
    <t>Coordenadas:</t>
  </si>
  <si>
    <t>X</t>
  </si>
  <si>
    <t>OTT / MF Pro</t>
  </si>
  <si>
    <t>Datos de inicio del aforo</t>
  </si>
  <si>
    <t>Inicio desde:</t>
  </si>
  <si>
    <t>Margen Izquierda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</si>
  <si>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</si>
  <si>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</si>
  <si>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</si>
  <si>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</si>
  <si>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</si>
  <si>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</si>
  <si>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</si>
  <si>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</si>
  <si>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</si>
  <si>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</si>
  <si>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>Dovela #</t>
  </si>
  <si>
    <t>Abscisa [m]</t>
  </si>
  <si>
    <t>y [m]</t>
  </si>
  <si>
    <t>Bq</t>
  </si>
  <si>
    <t>[m/seg]</t>
  </si>
  <si>
    <t>[m/s]</t>
  </si>
  <si>
    <t>[%]</t>
  </si>
  <si>
    <t>[s]</t>
  </si>
  <si>
    <t>pulg</t>
  </si>
  <si>
    <t>Formulas</t>
  </si>
  <si>
    <t>0.5y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</si>
  <si>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</si>
  <si>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</si>
  <si>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</si>
  <si>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</si>
  <si>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</si>
  <si>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</si>
  <si>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</si>
  <si>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</si>
  <si>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</si>
  <si>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</si>
  <si>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</si>
  <si>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</si>
  <si>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</si>
  <si>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</si>
  <si>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</si>
  <si>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</si>
  <si>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</si>
  <si>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</si>
  <si>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</si>
  <si>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</si>
  <si>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</si>
  <si>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</si>
  <si>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Medida de la temperatura</t>
  </si>
  <si>
    <t xml:space="preserve">Aforo No. </t>
  </si>
  <si>
    <t>m.s.n.m.</t>
  </si>
  <si>
    <t>Equipo</t>
  </si>
  <si>
    <t>Molinete (**)</t>
  </si>
  <si>
    <t xml:space="preserve">Marca/Referencia </t>
  </si>
  <si>
    <t>Ecuación del molinete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</si>
  <si>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</si>
  <si>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Hélice #</t>
  </si>
  <si>
    <t>Electromagnético</t>
  </si>
  <si>
    <t>Referencia de medida:</t>
  </si>
  <si>
    <t>Lecho del río</t>
  </si>
  <si>
    <t>Clima</t>
  </si>
  <si>
    <t>Superficie del agua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</si>
  <si>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</si>
  <si>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</si>
  <si>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</si>
  <si>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</si>
  <si>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</si>
  <si>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</si>
  <si>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</si>
  <si>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</si>
  <si>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</si>
  <si>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</si>
  <si>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t xml:space="preserve">        = Velocidad promedio por dovela</t>
  </si>
  <si>
    <t>Rev (**)</t>
  </si>
  <si>
    <t>[Rpm] (**)</t>
  </si>
  <si>
    <t>Fondo</t>
  </si>
  <si>
    <t>0,2y (* 0.8y)</t>
  </si>
  <si>
    <t>0,4y (* 0.6y)</t>
  </si>
  <si>
    <t>0,8y (* 0.2y)</t>
  </si>
  <si>
    <t>Sup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</si>
  <si>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</si>
  <si>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</si>
  <si>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</si>
  <si>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</si>
  <si>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</si>
  <si>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</si>
  <si>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</si>
  <si>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</si>
  <si>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</si>
  <si>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</si>
  <si>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</si>
  <si>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</si>
  <si>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0.6y (* 0,4y)</t>
  </si>
  <si>
    <t>0.7y (* 0,3y)</t>
  </si>
  <si>
    <t>0.8y (* 0,2y)</t>
  </si>
  <si>
    <t>0.9y (* 0,1y)</t>
  </si>
  <si>
    <t>Referencia desde lecho del Río</t>
  </si>
  <si>
    <t>Referencia desde la superficie del agua</t>
  </si>
  <si>
    <t>h Media (m)</t>
  </si>
  <si>
    <t>h Máxima (m)</t>
  </si>
  <si>
    <t>Organizando sección de aforo</t>
  </si>
  <si>
    <t>Detalle del aforo</t>
  </si>
  <si>
    <t>QUEBRADA PALOGRANDE - RUTA 30</t>
  </si>
  <si>
    <t>N  5° 03' 20,42"</t>
  </si>
  <si>
    <t xml:space="preserve">  W 75° 30' 3,31"</t>
  </si>
  <si>
    <t>frío y nublado</t>
  </si>
  <si>
    <r>
      <t xml:space="preserve">Qt = </t>
    </r>
    <r>
      <rPr>
        <sz val="10"/>
        <color theme="1"/>
        <rFont val="Calibri"/>
        <family val="2"/>
      </rPr>
      <t>Σqi</t>
    </r>
  </si>
  <si>
    <t xml:space="preserve">Canal en concreto. El aforo se realizó en el sitio donde se localiza el sensor.  </t>
  </si>
  <si>
    <t>Medida de la altura del sensor al nivel del agua</t>
  </si>
  <si>
    <t>Cálido con llovizna</t>
  </si>
  <si>
    <t>Formato L1.2: Medición de caudal por el método área-velocidad: medidas desde la superficie del agua con medidor electromagnético</t>
  </si>
  <si>
    <t>Convenio 221/2016 OPERACIÓN Y MANTENIMIENTO REDES HIDROMETEOROLÓGICAS, SÍSMICAS Y DE CALIDAD DE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</si>
</sst>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0.0000"/>
    <numFmt numFmtId="167" formatCode="_(&quot;$&quot;\ * #,##0.00_);_(&quot;$&quot;\ * \(#,##0.00\);_(&quot;$&quot;\ 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b/>
      <i/>
      <sz val="10"/>
      <name val="Calibri"/>
      <family val="2"/>
      <scheme val="minor"/>
    </font>
    <font>
      <sz val="11"/>
      <color rgb="FFFF0000"/>
      <name val="Calibri"/>
      <family val="2"/>
    </font>
    <font>
      <b/>
      <i/>
      <vertAlign val="subscript"/>
      <sz val="10"/>
      <name val="Calibri"/>
      <family val="2"/>
      <scheme val="minor"/>
    </font>
    <font>
      <sz val="10"/>
      <color rgb="FF000000"/>
      <name val="Calibri"/>
      <family val="2"/>
    </font>
    <font>
      <b/>
      <sz val="1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6" tint="0.59999389629810485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167" fontId="11" fillId="0" borderId="0" applyFont="0" applyFill="0" applyBorder="0" applyAlignment="0" applyProtection="0"/>
  </cellStyleXfs>
  <cellXfs count="336">
    <xf numFmtId="0" fontId="0" fillId="0" borderId="0" xfId="0"/>
    <xf numFmtId="0" fontId="0" fillId="0" borderId="0" xfId="0" applyAlignment="1"/>
    <xf numFmtId="0" fontId="0" fillId="0" borderId="0" xfId="0" applyFont="1"/>
    <xf numFmtId="0" fontId="3" fillId="0" borderId="0" xfId="0" applyFont="1"/>
    <xf numFmtId="0" fontId="1" fillId="0" borderId="25" xfId="0" applyFont="1" applyFill="1" applyBorder="1" applyAlignment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0" xfId="0" applyBorder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2" xfId="0" applyBorder="1" applyAlignment="1"/>
    <xf numFmtId="0" fontId="3" fillId="0" borderId="32" xfId="0" applyFont="1" applyBorder="1"/>
    <xf numFmtId="2" fontId="3" fillId="0" borderId="0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vertical="top"/>
    </xf>
    <xf numFmtId="166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Font="1" applyBorder="1"/>
    <xf numFmtId="0" fontId="0" fillId="0" borderId="0" xfId="0" applyFont="1" applyAlignment="1"/>
    <xf numFmtId="0" fontId="2" fillId="0" borderId="43" xfId="0" applyFont="1" applyBorder="1"/>
    <xf numFmtId="0" fontId="2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15" fillId="5" borderId="53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43" xfId="0" applyFont="1" applyFill="1" applyBorder="1" applyAlignment="1">
      <alignment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vertical="center"/>
    </xf>
    <xf numFmtId="0" fontId="15" fillId="0" borderId="53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9" fillId="0" borderId="60" xfId="0" applyFont="1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/>
    </xf>
    <xf numFmtId="0" fontId="19" fillId="0" borderId="76" xfId="0" applyFont="1" applyFill="1" applyBorder="1" applyAlignment="1">
      <alignment vertical="top" wrapText="1"/>
    </xf>
    <xf numFmtId="0" fontId="19" fillId="0" borderId="60" xfId="0" applyFont="1" applyFill="1" applyBorder="1" applyAlignment="1">
      <alignment horizontal="center" vertical="top" wrapText="1"/>
    </xf>
    <xf numFmtId="0" fontId="19" fillId="0" borderId="79" xfId="0" applyFont="1" applyFill="1" applyBorder="1" applyAlignment="1">
      <alignment horizontal="center"/>
    </xf>
    <xf numFmtId="0" fontId="17" fillId="0" borderId="90" xfId="0" applyFont="1" applyFill="1" applyBorder="1" applyAlignment="1">
      <alignment horizontal="center" vertical="top"/>
    </xf>
    <xf numFmtId="0" fontId="22" fillId="7" borderId="0" xfId="0" applyFont="1" applyFill="1" applyBorder="1" applyAlignment="1">
      <alignment horizontal="left" vertical="center" wrapText="1"/>
    </xf>
    <xf numFmtId="0" fontId="18" fillId="6" borderId="82" xfId="0" applyFont="1" applyFill="1" applyBorder="1" applyAlignment="1">
      <alignment horizontal="center" vertical="center"/>
    </xf>
    <xf numFmtId="0" fontId="18" fillId="6" borderId="99" xfId="0" applyFont="1" applyFill="1" applyBorder="1" applyAlignment="1">
      <alignment vertical="center"/>
    </xf>
    <xf numFmtId="0" fontId="18" fillId="6" borderId="99" xfId="0" applyFont="1" applyFill="1" applyBorder="1" applyAlignment="1">
      <alignment horizontal="center" vertical="center"/>
    </xf>
    <xf numFmtId="0" fontId="18" fillId="6" borderId="60" xfId="0" applyFont="1" applyFill="1" applyBorder="1" applyAlignment="1">
      <alignment horizontal="center" vertical="center"/>
    </xf>
    <xf numFmtId="0" fontId="2" fillId="0" borderId="93" xfId="0" applyFont="1" applyBorder="1"/>
    <xf numFmtId="0" fontId="18" fillId="6" borderId="93" xfId="0" applyFont="1" applyFill="1" applyBorder="1" applyAlignment="1">
      <alignment vertical="center"/>
    </xf>
    <xf numFmtId="0" fontId="18" fillId="6" borderId="102" xfId="0" applyFont="1" applyFill="1" applyBorder="1" applyAlignment="1">
      <alignment horizontal="center" vertical="center"/>
    </xf>
    <xf numFmtId="0" fontId="18" fillId="6" borderId="89" xfId="0" applyFont="1" applyFill="1" applyBorder="1" applyAlignment="1">
      <alignment horizontal="center" vertical="center"/>
    </xf>
    <xf numFmtId="0" fontId="24" fillId="0" borderId="0" xfId="0" applyFont="1" applyFill="1"/>
    <xf numFmtId="0" fontId="18" fillId="0" borderId="81" xfId="0" applyFont="1" applyFill="1" applyBorder="1" applyAlignment="1">
      <alignment horizontal="center" vertical="center" wrapText="1"/>
    </xf>
    <xf numFmtId="0" fontId="2" fillId="0" borderId="97" xfId="0" applyFont="1" applyFill="1" applyBorder="1" applyAlignment="1">
      <alignment horizontal="center" vertical="center" wrapText="1"/>
    </xf>
    <xf numFmtId="0" fontId="18" fillId="0" borderId="97" xfId="0" applyFont="1" applyFill="1" applyBorder="1" applyAlignment="1">
      <alignment horizontal="center" vertical="center"/>
    </xf>
    <xf numFmtId="0" fontId="12" fillId="0" borderId="97" xfId="0" applyFont="1" applyFill="1" applyBorder="1" applyAlignment="1">
      <alignment horizontal="center"/>
    </xf>
    <xf numFmtId="2" fontId="14" fillId="0" borderId="97" xfId="0" applyNumberFormat="1" applyFont="1" applyFill="1" applyBorder="1" applyAlignment="1">
      <alignment vertical="center"/>
    </xf>
    <xf numFmtId="164" fontId="14" fillId="0" borderId="97" xfId="0" applyNumberFormat="1" applyFont="1" applyFill="1" applyBorder="1" applyAlignment="1">
      <alignment vertical="center"/>
    </xf>
    <xf numFmtId="0" fontId="18" fillId="0" borderId="103" xfId="0" applyFont="1" applyFill="1" applyBorder="1" applyAlignment="1">
      <alignment horizontal="center" vertical="center"/>
    </xf>
    <xf numFmtId="0" fontId="0" fillId="0" borderId="0" xfId="0" applyFont="1" applyFill="1" applyAlignment="1"/>
    <xf numFmtId="2" fontId="14" fillId="0" borderId="97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2" fillId="0" borderId="99" xfId="0" applyFont="1" applyFill="1" applyBorder="1" applyAlignment="1">
      <alignment horizontal="center"/>
    </xf>
    <xf numFmtId="2" fontId="14" fillId="0" borderId="99" xfId="0" applyNumberFormat="1" applyFont="1" applyFill="1" applyBorder="1" applyAlignment="1">
      <alignment horizontal="center" vertical="center"/>
    </xf>
    <xf numFmtId="2" fontId="14" fillId="0" borderId="99" xfId="0" applyNumberFormat="1" applyFont="1" applyFill="1" applyBorder="1" applyAlignment="1">
      <alignment vertical="center"/>
    </xf>
    <xf numFmtId="0" fontId="2" fillId="0" borderId="99" xfId="0" applyFont="1" applyFill="1" applyBorder="1"/>
    <xf numFmtId="164" fontId="14" fillId="0" borderId="99" xfId="0" applyNumberFormat="1" applyFont="1" applyFill="1" applyBorder="1" applyAlignment="1">
      <alignment horizontal="center" vertical="center"/>
    </xf>
    <xf numFmtId="0" fontId="12" fillId="0" borderId="104" xfId="0" applyFont="1" applyFill="1" applyBorder="1" applyAlignment="1">
      <alignment horizontal="center"/>
    </xf>
    <xf numFmtId="2" fontId="14" fillId="0" borderId="104" xfId="0" applyNumberFormat="1" applyFont="1" applyFill="1" applyBorder="1" applyAlignment="1">
      <alignment horizontal="center" vertical="center"/>
    </xf>
    <xf numFmtId="2" fontId="14" fillId="0" borderId="104" xfId="0" applyNumberFormat="1" applyFont="1" applyFill="1" applyBorder="1" applyAlignment="1">
      <alignment vertical="center"/>
    </xf>
    <xf numFmtId="0" fontId="2" fillId="0" borderId="104" xfId="0" applyFont="1" applyFill="1" applyBorder="1"/>
    <xf numFmtId="164" fontId="14" fillId="0" borderId="104" xfId="0" applyNumberFormat="1" applyFont="1" applyFill="1" applyBorder="1" applyAlignment="1">
      <alignment horizontal="center" vertical="center"/>
    </xf>
    <xf numFmtId="0" fontId="12" fillId="0" borderId="107" xfId="0" applyFont="1" applyFill="1" applyBorder="1" applyAlignment="1">
      <alignment horizontal="center"/>
    </xf>
    <xf numFmtId="2" fontId="14" fillId="0" borderId="107" xfId="0" applyNumberFormat="1" applyFont="1" applyFill="1" applyBorder="1" applyAlignment="1">
      <alignment horizontal="center" vertical="center"/>
    </xf>
    <xf numFmtId="2" fontId="14" fillId="0" borderId="107" xfId="0" applyNumberFormat="1" applyFont="1" applyFill="1" applyBorder="1" applyAlignment="1">
      <alignment vertical="center"/>
    </xf>
    <xf numFmtId="0" fontId="2" fillId="0" borderId="107" xfId="0" applyFont="1" applyFill="1" applyBorder="1"/>
    <xf numFmtId="164" fontId="14" fillId="0" borderId="107" xfId="0" applyNumberFormat="1" applyFont="1" applyFill="1" applyBorder="1" applyAlignment="1">
      <alignment horizontal="center" vertical="center"/>
    </xf>
    <xf numFmtId="0" fontId="3" fillId="0" borderId="9" xfId="0" applyFont="1" applyBorder="1"/>
    <xf numFmtId="0" fontId="4" fillId="8" borderId="27" xfId="0" applyFont="1" applyFill="1" applyBorder="1" applyAlignment="1">
      <alignment vertical="center" wrapText="1"/>
    </xf>
    <xf numFmtId="0" fontId="4" fillId="8" borderId="110" xfId="0" applyFont="1" applyFill="1" applyBorder="1" applyAlignment="1">
      <alignment vertical="center" wrapText="1"/>
    </xf>
    <xf numFmtId="0" fontId="24" fillId="0" borderId="43" xfId="0" applyFont="1" applyBorder="1"/>
    <xf numFmtId="2" fontId="14" fillId="10" borderId="114" xfId="0" applyNumberFormat="1" applyFont="1" applyFill="1" applyBorder="1" applyAlignment="1">
      <alignment horizontal="center" vertical="center"/>
    </xf>
    <xf numFmtId="2" fontId="14" fillId="10" borderId="114" xfId="0" applyNumberFormat="1" applyFont="1" applyFill="1" applyBorder="1" applyAlignment="1">
      <alignment horizontal="center"/>
    </xf>
    <xf numFmtId="164" fontId="2" fillId="10" borderId="114" xfId="0" applyNumberFormat="1" applyFont="1" applyFill="1" applyBorder="1" applyAlignment="1">
      <alignment horizontal="center"/>
    </xf>
    <xf numFmtId="164" fontId="2" fillId="9" borderId="114" xfId="0" applyNumberFormat="1" applyFont="1" applyFill="1" applyBorder="1" applyAlignment="1">
      <alignment horizontal="center"/>
    </xf>
    <xf numFmtId="0" fontId="24" fillId="0" borderId="0" xfId="0" applyFont="1"/>
    <xf numFmtId="0" fontId="14" fillId="10" borderId="104" xfId="0" applyFont="1" applyFill="1" applyBorder="1" applyAlignment="1">
      <alignment horizontal="center"/>
    </xf>
    <xf numFmtId="2" fontId="14" fillId="10" borderId="104" xfId="0" applyNumberFormat="1" applyFont="1" applyFill="1" applyBorder="1" applyAlignment="1">
      <alignment horizontal="center" vertical="center"/>
    </xf>
    <xf numFmtId="2" fontId="14" fillId="10" borderId="104" xfId="0" applyNumberFormat="1" applyFont="1" applyFill="1" applyBorder="1" applyAlignment="1">
      <alignment horizontal="center"/>
    </xf>
    <xf numFmtId="164" fontId="2" fillId="10" borderId="104" xfId="0" applyNumberFormat="1" applyFont="1" applyFill="1" applyBorder="1" applyAlignment="1">
      <alignment horizontal="center"/>
    </xf>
    <xf numFmtId="164" fontId="2" fillId="9" borderId="104" xfId="0" applyNumberFormat="1" applyFont="1" applyFill="1" applyBorder="1" applyAlignment="1">
      <alignment horizontal="center"/>
    </xf>
    <xf numFmtId="2" fontId="14" fillId="10" borderId="121" xfId="0" applyNumberFormat="1" applyFont="1" applyFill="1" applyBorder="1" applyAlignment="1">
      <alignment horizontal="center" vertical="center"/>
    </xf>
    <xf numFmtId="2" fontId="14" fillId="10" borderId="121" xfId="0" applyNumberFormat="1" applyFont="1" applyFill="1" applyBorder="1" applyAlignment="1">
      <alignment horizontal="center"/>
    </xf>
    <xf numFmtId="164" fontId="2" fillId="10" borderId="121" xfId="0" applyNumberFormat="1" applyFont="1" applyFill="1" applyBorder="1" applyAlignment="1">
      <alignment horizontal="center"/>
    </xf>
    <xf numFmtId="164" fontId="2" fillId="11" borderId="121" xfId="0" applyNumberFormat="1" applyFont="1" applyFill="1" applyBorder="1" applyAlignment="1">
      <alignment horizontal="center"/>
    </xf>
    <xf numFmtId="0" fontId="17" fillId="0" borderId="69" xfId="0" applyFont="1" applyFill="1" applyBorder="1" applyAlignment="1">
      <alignment horizontal="center" vertical="center"/>
    </xf>
    <xf numFmtId="0" fontId="17" fillId="0" borderId="69" xfId="0" applyFont="1" applyFill="1" applyBorder="1" applyAlignment="1">
      <alignment horizontal="center" vertical="top" wrapText="1"/>
    </xf>
    <xf numFmtId="0" fontId="17" fillId="0" borderId="86" xfId="0" applyFont="1" applyFill="1" applyBorder="1" applyAlignment="1">
      <alignment horizontal="center" vertical="center" wrapText="1"/>
    </xf>
    <xf numFmtId="20" fontId="17" fillId="0" borderId="89" xfId="0" applyNumberFormat="1" applyFont="1" applyFill="1" applyBorder="1" applyAlignment="1">
      <alignment horizontal="center" vertical="top"/>
    </xf>
    <xf numFmtId="0" fontId="17" fillId="0" borderId="79" xfId="0" applyFont="1" applyFill="1" applyBorder="1" applyAlignment="1">
      <alignment horizontal="center" vertical="center"/>
    </xf>
    <xf numFmtId="2" fontId="17" fillId="0" borderId="93" xfId="0" applyNumberFormat="1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 wrapText="1"/>
    </xf>
    <xf numFmtId="164" fontId="24" fillId="0" borderId="0" xfId="0" applyNumberFormat="1" applyFont="1" applyFill="1"/>
    <xf numFmtId="164" fontId="25" fillId="5" borderId="125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1" fillId="0" borderId="25" xfId="0" applyFont="1" applyFill="1" applyBorder="1" applyAlignment="1">
      <alignment vertical="center"/>
    </xf>
    <xf numFmtId="0" fontId="1" fillId="0" borderId="17" xfId="0" applyFont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 vertical="center" wrapText="1"/>
    </xf>
    <xf numFmtId="0" fontId="1" fillId="0" borderId="128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126" xfId="0" applyFont="1" applyFill="1" applyBorder="1" applyAlignment="1">
      <alignment horizontal="center" vertical="center" wrapText="1"/>
    </xf>
    <xf numFmtId="0" fontId="1" fillId="0" borderId="127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2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4" borderId="11" xfId="0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wrapText="1"/>
    </xf>
    <xf numFmtId="164" fontId="14" fillId="13" borderId="15" xfId="0" applyNumberFormat="1" applyFont="1" applyFill="1" applyBorder="1" applyAlignment="1">
      <alignment horizontal="center"/>
    </xf>
    <xf numFmtId="164" fontId="14" fillId="13" borderId="12" xfId="0" applyNumberFormat="1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wrapText="1"/>
    </xf>
    <xf numFmtId="0" fontId="14" fillId="4" borderId="16" xfId="0" applyFont="1" applyFill="1" applyBorder="1" applyAlignment="1">
      <alignment horizontal="center" wrapText="1"/>
    </xf>
    <xf numFmtId="164" fontId="14" fillId="13" borderId="16" xfId="0" applyNumberFormat="1" applyFont="1" applyFill="1" applyBorder="1" applyAlignment="1">
      <alignment horizontal="center"/>
    </xf>
    <xf numFmtId="164" fontId="14" fillId="13" borderId="14" xfId="0" applyNumberFormat="1" applyFont="1" applyFill="1" applyBorder="1" applyAlignment="1">
      <alignment horizontal="center"/>
    </xf>
    <xf numFmtId="0" fontId="0" fillId="0" borderId="123" xfId="0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124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09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left" vertical="center" wrapText="1"/>
    </xf>
    <xf numFmtId="0" fontId="18" fillId="12" borderId="0" xfId="0" applyFont="1" applyFill="1" applyBorder="1" applyAlignment="1">
      <alignment horizontal="center" vertical="top" wrapText="1"/>
    </xf>
    <xf numFmtId="0" fontId="18" fillId="12" borderId="48" xfId="0" applyFont="1" applyFill="1" applyBorder="1" applyAlignment="1">
      <alignment horizontal="center" vertical="top" wrapText="1"/>
    </xf>
    <xf numFmtId="0" fontId="6" fillId="3" borderId="3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top"/>
    </xf>
    <xf numFmtId="0" fontId="1" fillId="3" borderId="15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4" fillId="10" borderId="113" xfId="0" applyFont="1" applyFill="1" applyBorder="1" applyAlignment="1">
      <alignment horizontal="center" vertical="center"/>
    </xf>
    <xf numFmtId="0" fontId="14" fillId="3" borderId="100" xfId="0" applyFont="1" applyFill="1" applyBorder="1"/>
    <xf numFmtId="0" fontId="14" fillId="3" borderId="120" xfId="0" applyFont="1" applyFill="1" applyBorder="1"/>
    <xf numFmtId="166" fontId="14" fillId="10" borderId="113" xfId="0" applyNumberFormat="1" applyFont="1" applyFill="1" applyBorder="1" applyAlignment="1">
      <alignment horizontal="center" vertical="center"/>
    </xf>
    <xf numFmtId="0" fontId="14" fillId="10" borderId="115" xfId="0" applyFont="1" applyFill="1" applyBorder="1" applyAlignment="1">
      <alignment horizontal="center" vertical="center"/>
    </xf>
    <xf numFmtId="0" fontId="14" fillId="3" borderId="117" xfId="0" applyFont="1" applyFill="1" applyBorder="1"/>
    <xf numFmtId="0" fontId="14" fillId="3" borderId="122" xfId="0" applyFont="1" applyFill="1" applyBorder="1"/>
    <xf numFmtId="2" fontId="14" fillId="9" borderId="102" xfId="0" applyNumberFormat="1" applyFont="1" applyFill="1" applyBorder="1" applyAlignment="1">
      <alignment horizontal="center" vertical="center"/>
    </xf>
    <xf numFmtId="164" fontId="14" fillId="9" borderId="102" xfId="0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14" fillId="9" borderId="112" xfId="0" applyFont="1" applyFill="1" applyBorder="1" applyAlignment="1">
      <alignment horizontal="center" vertical="center"/>
    </xf>
    <xf numFmtId="0" fontId="14" fillId="3" borderId="116" xfId="0" applyFont="1" applyFill="1" applyBorder="1"/>
    <xf numFmtId="0" fontId="14" fillId="3" borderId="119" xfId="0" applyFont="1" applyFill="1" applyBorder="1"/>
    <xf numFmtId="2" fontId="14" fillId="9" borderId="113" xfId="0" applyNumberFormat="1" applyFont="1" applyFill="1" applyBorder="1" applyAlignment="1">
      <alignment horizontal="center" vertical="center"/>
    </xf>
    <xf numFmtId="0" fontId="14" fillId="3" borderId="118" xfId="0" applyFont="1" applyFill="1" applyBorder="1"/>
    <xf numFmtId="164" fontId="14" fillId="9" borderId="113" xfId="0" applyNumberFormat="1" applyFont="1" applyFill="1" applyBorder="1" applyAlignment="1">
      <alignment horizontal="center" vertical="center"/>
    </xf>
    <xf numFmtId="164" fontId="14" fillId="10" borderId="113" xfId="0" applyNumberFormat="1" applyFont="1" applyFill="1" applyBorder="1" applyAlignment="1">
      <alignment horizontal="center" vertical="center"/>
    </xf>
    <xf numFmtId="164" fontId="14" fillId="0" borderId="97" xfId="0" applyNumberFormat="1" applyFont="1" applyFill="1" applyBorder="1" applyAlignment="1">
      <alignment horizontal="center" vertical="center"/>
    </xf>
    <xf numFmtId="0" fontId="14" fillId="0" borderId="100" xfId="0" applyFont="1" applyFill="1" applyBorder="1"/>
    <xf numFmtId="0" fontId="14" fillId="0" borderId="106" xfId="0" applyFont="1" applyFill="1" applyBorder="1"/>
    <xf numFmtId="165" fontId="14" fillId="0" borderId="97" xfId="0" applyNumberFormat="1" applyFont="1" applyFill="1" applyBorder="1" applyAlignment="1">
      <alignment horizontal="center" vertical="center"/>
    </xf>
    <xf numFmtId="0" fontId="14" fillId="0" borderId="97" xfId="0" applyFont="1" applyFill="1" applyBorder="1" applyAlignment="1">
      <alignment horizontal="center" vertical="center"/>
    </xf>
    <xf numFmtId="0" fontId="14" fillId="0" borderId="103" xfId="0" applyFont="1" applyFill="1" applyBorder="1" applyAlignment="1">
      <alignment horizontal="center" vertical="center"/>
    </xf>
    <xf numFmtId="0" fontId="14" fillId="0" borderId="105" xfId="0" applyFont="1" applyFill="1" applyBorder="1"/>
    <xf numFmtId="0" fontId="14" fillId="0" borderId="108" xfId="0" applyFont="1" applyFill="1" applyBorder="1"/>
    <xf numFmtId="0" fontId="4" fillId="8" borderId="109" xfId="0" applyFont="1" applyFill="1" applyBorder="1" applyAlignment="1">
      <alignment horizontal="center" vertical="center" textRotation="90"/>
    </xf>
    <xf numFmtId="0" fontId="4" fillId="8" borderId="110" xfId="0" applyFont="1" applyFill="1" applyBorder="1" applyAlignment="1">
      <alignment horizontal="center" vertical="center" textRotation="90"/>
    </xf>
    <xf numFmtId="0" fontId="4" fillId="8" borderId="11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horizontal="center" vertical="top"/>
    </xf>
    <xf numFmtId="0" fontId="2" fillId="0" borderId="81" xfId="0" applyFont="1" applyFill="1" applyBorder="1" applyAlignment="1">
      <alignment horizontal="center" vertical="center"/>
    </xf>
    <xf numFmtId="0" fontId="14" fillId="0" borderId="78" xfId="0" applyFont="1" applyFill="1" applyBorder="1"/>
    <xf numFmtId="0" fontId="14" fillId="0" borderId="85" xfId="0" applyFont="1" applyFill="1" applyBorder="1"/>
    <xf numFmtId="2" fontId="14" fillId="0" borderId="97" xfId="0" applyNumberFormat="1" applyFont="1" applyFill="1" applyBorder="1" applyAlignment="1">
      <alignment horizontal="center" vertical="center"/>
    </xf>
    <xf numFmtId="0" fontId="14" fillId="7" borderId="48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/>
    </xf>
    <xf numFmtId="0" fontId="14" fillId="7" borderId="48" xfId="0" applyFont="1" applyFill="1" applyBorder="1" applyAlignment="1">
      <alignment horizontal="center"/>
    </xf>
    <xf numFmtId="0" fontId="14" fillId="0" borderId="48" xfId="0" applyFont="1" applyBorder="1"/>
    <xf numFmtId="0" fontId="14" fillId="0" borderId="49" xfId="0" applyFont="1" applyBorder="1"/>
    <xf numFmtId="0" fontId="18" fillId="6" borderId="81" xfId="0" applyFont="1" applyFill="1" applyBorder="1" applyAlignment="1">
      <alignment horizontal="center" vertical="center" wrapText="1"/>
    </xf>
    <xf numFmtId="0" fontId="14" fillId="0" borderId="78" xfId="0" applyFont="1" applyBorder="1"/>
    <xf numFmtId="0" fontId="18" fillId="6" borderId="97" xfId="0" applyFont="1" applyFill="1" applyBorder="1" applyAlignment="1">
      <alignment horizontal="center" vertical="center" wrapText="1"/>
    </xf>
    <xf numFmtId="0" fontId="14" fillId="0" borderId="100" xfId="0" applyFont="1" applyBorder="1"/>
    <xf numFmtId="0" fontId="18" fillId="6" borderId="97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0" fontId="14" fillId="0" borderId="45" xfId="0" applyFont="1" applyBorder="1"/>
    <xf numFmtId="0" fontId="14" fillId="0" borderId="83" xfId="0" applyFont="1" applyBorder="1"/>
    <xf numFmtId="0" fontId="14" fillId="0" borderId="0" xfId="0" applyFont="1" applyBorder="1"/>
    <xf numFmtId="0" fontId="18" fillId="6" borderId="98" xfId="0" applyFont="1" applyFill="1" applyBorder="1" applyAlignment="1">
      <alignment horizontal="center" vertical="center" wrapText="1"/>
    </xf>
    <xf numFmtId="0" fontId="14" fillId="0" borderId="101" xfId="0" applyFont="1" applyBorder="1"/>
    <xf numFmtId="0" fontId="18" fillId="6" borderId="44" xfId="0" applyFont="1" applyFill="1" applyBorder="1" applyAlignment="1">
      <alignment horizontal="center" vertical="center" textRotation="90" wrapText="1"/>
    </xf>
    <xf numFmtId="0" fontId="14" fillId="0" borderId="95" xfId="0" applyFont="1" applyBorder="1"/>
    <xf numFmtId="0" fontId="14" fillId="0" borderId="47" xfId="0" applyFont="1" applyBorder="1"/>
    <xf numFmtId="0" fontId="14" fillId="0" borderId="44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/>
    </xf>
    <xf numFmtId="0" fontId="14" fillId="0" borderId="45" xfId="0" applyFont="1" applyFill="1" applyBorder="1" applyAlignment="1">
      <alignment horizontal="center" vertical="center" wrapText="1"/>
    </xf>
    <xf numFmtId="0" fontId="14" fillId="0" borderId="45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/>
    </xf>
    <xf numFmtId="0" fontId="14" fillId="7" borderId="95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4" fillId="7" borderId="0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horizontal="center"/>
    </xf>
    <xf numFmtId="0" fontId="14" fillId="0" borderId="96" xfId="0" applyFont="1" applyBorder="1"/>
    <xf numFmtId="0" fontId="14" fillId="7" borderId="47" xfId="0" applyFont="1" applyFill="1" applyBorder="1" applyAlignment="1">
      <alignment horizontal="center" vertical="center" wrapText="1"/>
    </xf>
    <xf numFmtId="0" fontId="2" fillId="0" borderId="88" xfId="0" applyFont="1" applyFill="1" applyBorder="1" applyAlignment="1">
      <alignment horizontal="center" vertical="center" wrapText="1"/>
    </xf>
    <xf numFmtId="0" fontId="14" fillId="0" borderId="91" xfId="0" applyFont="1" applyFill="1" applyBorder="1"/>
    <xf numFmtId="0" fontId="2" fillId="0" borderId="67" xfId="0" applyFont="1" applyFill="1" applyBorder="1" applyAlignment="1">
      <alignment horizontal="center" vertical="center"/>
    </xf>
    <xf numFmtId="0" fontId="14" fillId="0" borderId="68" xfId="0" applyFont="1" applyFill="1" applyBorder="1"/>
    <xf numFmtId="0" fontId="2" fillId="0" borderId="67" xfId="0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 vertical="top"/>
    </xf>
    <xf numFmtId="0" fontId="17" fillId="0" borderId="67" xfId="0" applyFont="1" applyFill="1" applyBorder="1" applyAlignment="1">
      <alignment horizontal="center" vertical="center" wrapText="1"/>
    </xf>
    <xf numFmtId="0" fontId="16" fillId="0" borderId="94" xfId="0" applyFont="1" applyFill="1" applyBorder="1"/>
    <xf numFmtId="0" fontId="2" fillId="0" borderId="86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14" fillId="0" borderId="80" xfId="0" applyFont="1" applyFill="1" applyBorder="1"/>
    <xf numFmtId="0" fontId="2" fillId="0" borderId="88" xfId="0" applyFont="1" applyFill="1" applyBorder="1" applyAlignment="1">
      <alignment horizontal="center"/>
    </xf>
    <xf numFmtId="0" fontId="2" fillId="0" borderId="58" xfId="0" applyFont="1" applyFill="1" applyBorder="1" applyAlignment="1">
      <alignment horizontal="center" vertical="top"/>
    </xf>
    <xf numFmtId="0" fontId="14" fillId="0" borderId="59" xfId="0" applyFont="1" applyFill="1" applyBorder="1"/>
    <xf numFmtId="0" fontId="17" fillId="0" borderId="70" xfId="0" applyFont="1" applyFill="1" applyBorder="1" applyAlignment="1">
      <alignment horizontal="center"/>
    </xf>
    <xf numFmtId="0" fontId="16" fillId="0" borderId="70" xfId="0" applyFont="1" applyFill="1" applyBorder="1"/>
    <xf numFmtId="0" fontId="19" fillId="0" borderId="71" xfId="0" applyFont="1" applyFill="1" applyBorder="1" applyAlignment="1">
      <alignment horizontal="center"/>
    </xf>
    <xf numFmtId="0" fontId="16" fillId="0" borderId="72" xfId="0" applyFont="1" applyFill="1" applyBorder="1"/>
    <xf numFmtId="0" fontId="16" fillId="0" borderId="73" xfId="0" applyFont="1" applyFill="1" applyBorder="1"/>
    <xf numFmtId="0" fontId="19" fillId="0" borderId="74" xfId="0" applyFont="1" applyFill="1" applyBorder="1" applyAlignment="1">
      <alignment horizontal="center"/>
    </xf>
    <xf numFmtId="0" fontId="16" fillId="0" borderId="75" xfId="0" applyFont="1" applyFill="1" applyBorder="1"/>
    <xf numFmtId="0" fontId="18" fillId="6" borderId="77" xfId="0" applyFont="1" applyFill="1" applyBorder="1" applyAlignment="1">
      <alignment horizontal="center" vertical="center" wrapText="1"/>
    </xf>
    <xf numFmtId="0" fontId="14" fillId="0" borderId="84" xfId="0" applyFont="1" applyBorder="1"/>
    <xf numFmtId="0" fontId="14" fillId="0" borderId="92" xfId="0" applyFont="1" applyBorder="1"/>
    <xf numFmtId="0" fontId="20" fillId="0" borderId="78" xfId="0" applyFont="1" applyFill="1" applyBorder="1" applyAlignment="1">
      <alignment horizontal="center" vertical="center" wrapText="1"/>
    </xf>
    <xf numFmtId="0" fontId="2" fillId="0" borderId="79" xfId="0" applyFont="1" applyFill="1" applyBorder="1" applyAlignment="1">
      <alignment horizontal="center" vertical="center"/>
    </xf>
    <xf numFmtId="0" fontId="20" fillId="0" borderId="81" xfId="0" applyFont="1" applyFill="1" applyBorder="1" applyAlignment="1">
      <alignment horizontal="center" vertical="center" wrapText="1"/>
    </xf>
    <xf numFmtId="0" fontId="2" fillId="0" borderId="82" xfId="0" applyFont="1" applyFill="1" applyBorder="1" applyAlignment="1">
      <alignment horizontal="center" vertical="center"/>
    </xf>
    <xf numFmtId="0" fontId="15" fillId="0" borderId="83" xfId="0" applyFont="1" applyFill="1" applyBorder="1" applyAlignment="1">
      <alignment horizontal="center" vertical="center"/>
    </xf>
    <xf numFmtId="0" fontId="16" fillId="0" borderId="0" xfId="0" applyFont="1" applyFill="1" applyBorder="1"/>
    <xf numFmtId="0" fontId="16" fillId="0" borderId="45" xfId="0" applyFont="1" applyFill="1" applyBorder="1"/>
    <xf numFmtId="0" fontId="16" fillId="0" borderId="46" xfId="0" applyFont="1" applyFill="1" applyBorder="1"/>
    <xf numFmtId="0" fontId="16" fillId="0" borderId="87" xfId="0" applyFont="1" applyFill="1" applyBorder="1"/>
    <xf numFmtId="0" fontId="16" fillId="0" borderId="48" xfId="0" applyFont="1" applyFill="1" applyBorder="1"/>
    <xf numFmtId="0" fontId="16" fillId="0" borderId="49" xfId="0" applyFont="1" applyFill="1" applyBorder="1"/>
    <xf numFmtId="0" fontId="2" fillId="0" borderId="55" xfId="0" applyFont="1" applyFill="1" applyBorder="1" applyAlignment="1">
      <alignment horizontal="center" vertical="center"/>
    </xf>
    <xf numFmtId="0" fontId="14" fillId="0" borderId="56" xfId="0" applyFont="1" applyFill="1" applyBorder="1" applyAlignment="1">
      <alignment vertical="center"/>
    </xf>
    <xf numFmtId="0" fontId="17" fillId="0" borderId="57" xfId="0" applyFont="1" applyFill="1" applyBorder="1" applyAlignment="1">
      <alignment horizontal="center" vertical="center"/>
    </xf>
    <xf numFmtId="0" fontId="16" fillId="0" borderId="45" xfId="0" applyFont="1" applyFill="1" applyBorder="1" applyAlignment="1">
      <alignment vertical="center"/>
    </xf>
    <xf numFmtId="0" fontId="16" fillId="0" borderId="46" xfId="0" applyFont="1" applyFill="1" applyBorder="1" applyAlignment="1">
      <alignment vertical="center"/>
    </xf>
    <xf numFmtId="0" fontId="16" fillId="0" borderId="56" xfId="0" applyFont="1" applyFill="1" applyBorder="1" applyAlignment="1">
      <alignment vertical="center"/>
    </xf>
    <xf numFmtId="0" fontId="18" fillId="6" borderId="44" xfId="0" applyFont="1" applyFill="1" applyBorder="1" applyAlignment="1">
      <alignment horizontal="center" vertical="center" wrapText="1"/>
    </xf>
    <xf numFmtId="0" fontId="2" fillId="0" borderId="58" xfId="0" applyFont="1" applyFill="1" applyBorder="1" applyAlignment="1">
      <alignment horizontal="center"/>
    </xf>
    <xf numFmtId="0" fontId="2" fillId="0" borderId="61" xfId="0" applyFont="1" applyFill="1" applyBorder="1" applyAlignment="1">
      <alignment horizontal="center" vertical="center"/>
    </xf>
    <xf numFmtId="0" fontId="14" fillId="0" borderId="61" xfId="0" applyFont="1" applyFill="1" applyBorder="1"/>
    <xf numFmtId="0" fontId="2" fillId="0" borderId="62" xfId="0" applyFont="1" applyFill="1" applyBorder="1" applyAlignment="1">
      <alignment horizontal="center" vertical="center" wrapText="1"/>
    </xf>
    <xf numFmtId="0" fontId="14" fillId="0" borderId="63" xfId="0" applyFont="1" applyFill="1" applyBorder="1"/>
    <xf numFmtId="0" fontId="14" fillId="0" borderId="64" xfId="0" applyFont="1" applyFill="1" applyBorder="1"/>
    <xf numFmtId="0" fontId="2" fillId="0" borderId="61" xfId="0" applyFont="1" applyFill="1" applyBorder="1" applyAlignment="1">
      <alignment horizontal="center" vertical="center" wrapText="1"/>
    </xf>
    <xf numFmtId="0" fontId="14" fillId="0" borderId="65" xfId="0" applyFont="1" applyFill="1" applyBorder="1"/>
    <xf numFmtId="0" fontId="13" fillId="0" borderId="45" xfId="0" applyFont="1" applyBorder="1" applyAlignment="1">
      <alignment horizontal="center" wrapText="1"/>
    </xf>
    <xf numFmtId="14" fontId="17" fillId="0" borderId="51" xfId="0" applyNumberFormat="1" applyFont="1" applyFill="1" applyBorder="1" applyAlignment="1">
      <alignment horizontal="center" vertical="center"/>
    </xf>
    <xf numFmtId="0" fontId="16" fillId="0" borderId="52" xfId="0" applyFont="1" applyFill="1" applyBorder="1"/>
    <xf numFmtId="0" fontId="17" fillId="0" borderId="51" xfId="0" applyFont="1" applyBorder="1" applyAlignment="1">
      <alignment horizontal="center" vertical="center" wrapText="1"/>
    </xf>
    <xf numFmtId="0" fontId="16" fillId="0" borderId="52" xfId="0" applyFont="1" applyBorder="1" applyAlignment="1">
      <alignment vertical="center"/>
    </xf>
    <xf numFmtId="0" fontId="16" fillId="0" borderId="54" xfId="0" applyFont="1" applyBorder="1" applyAlignment="1">
      <alignment vertical="center"/>
    </xf>
    <xf numFmtId="0" fontId="1" fillId="0" borderId="109" xfId="0" applyFont="1" applyFill="1" applyBorder="1" applyAlignment="1">
      <alignment horizontal="center"/>
    </xf>
    <xf numFmtId="0" fontId="1" fillId="0" borderId="37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29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0" fillId="0" borderId="32" xfId="0" applyFont="1" applyBorder="1"/>
    <xf numFmtId="0" fontId="0" fillId="0" borderId="13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6" fillId="0" borderId="13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130" xfId="0" applyFont="1" applyBorder="1" applyAlignment="1">
      <alignment horizontal="center" wrapText="1"/>
    </xf>
    <xf numFmtId="0" fontId="27" fillId="0" borderId="3" xfId="0" applyFont="1" applyBorder="1" applyAlignment="1">
      <alignment horizontal="center" wrapText="1"/>
    </xf>
    <xf numFmtId="0" fontId="0" fillId="0" borderId="2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26" fillId="0" borderId="2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wrapText="1"/>
    </xf>
    <xf numFmtId="0" fontId="27" fillId="0" borderId="8" xfId="0" applyFont="1" applyBorder="1" applyAlignment="1">
      <alignment horizontal="center" wrapText="1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jpeg"/><Relationship Id="rId7" Type="http://schemas.openxmlformats.org/officeDocument/2006/relationships/image" Target="../media/image10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jpeg"/><Relationship Id="rId5" Type="http://schemas.openxmlformats.org/officeDocument/2006/relationships/image" Target="../media/image8.jpeg"/><Relationship Id="rId10" Type="http://schemas.openxmlformats.org/officeDocument/2006/relationships/image" Target="../media/image13.png"/><Relationship Id="rId4" Type="http://schemas.openxmlformats.org/officeDocument/2006/relationships/image" Target="../media/image7.jpe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4.jpg"/><Relationship Id="rId7" Type="http://schemas.openxmlformats.org/officeDocument/2006/relationships/image" Target="../media/image12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17.jpg"/><Relationship Id="rId5" Type="http://schemas.openxmlformats.org/officeDocument/2006/relationships/image" Target="../media/image16.jpg"/><Relationship Id="rId4" Type="http://schemas.openxmlformats.org/officeDocument/2006/relationships/image" Target="../media/image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21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647" y="470647"/>
          <a:ext cx="5334000" cy="3429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9</xdr:col>
      <xdr:colOff>0</xdr:colOff>
      <xdr:row>39</xdr:row>
      <xdr:rowOff>0</xdr:rowOff>
    </xdr:to>
    <xdr:pic>
      <xdr:nvPicPr>
        <xdr:cNvPr id="7" name="Imagen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4459941"/>
          <a:ext cx="5334000" cy="2667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8312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74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22432" y="1459097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220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91</xdr:row>
      <xdr:rowOff>15875</xdr:rowOff>
    </xdr:from>
    <xdr:to>
      <xdr:col>5</xdr:col>
      <xdr:colOff>255663</xdr:colOff>
      <xdr:row>96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913350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91</xdr:row>
      <xdr:rowOff>15875</xdr:rowOff>
    </xdr:from>
    <xdr:to>
      <xdr:col>10</xdr:col>
      <xdr:colOff>481636</xdr:colOff>
      <xdr:row>96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989651" y="17913350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225015</xdr:colOff>
      <xdr:row>99</xdr:row>
      <xdr:rowOff>103823</xdr:rowOff>
    </xdr:from>
    <xdr:to>
      <xdr:col>13</xdr:col>
      <xdr:colOff>128216</xdr:colOff>
      <xdr:row>99</xdr:row>
      <xdr:rowOff>1925477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490" y="20582573"/>
          <a:ext cx="1331951" cy="1821654"/>
        </a:xfrm>
        <a:prstGeom prst="rect">
          <a:avLst/>
        </a:prstGeom>
      </xdr:spPr>
    </xdr:pic>
    <xdr:clientData/>
  </xdr:twoCellAnchor>
  <xdr:twoCellAnchor editAs="oneCell">
    <xdr:from>
      <xdr:col>1</xdr:col>
      <xdr:colOff>106172</xdr:colOff>
      <xdr:row>99</xdr:row>
      <xdr:rowOff>53117</xdr:rowOff>
    </xdr:from>
    <xdr:to>
      <xdr:col>2</xdr:col>
      <xdr:colOff>686552</xdr:colOff>
      <xdr:row>99</xdr:row>
      <xdr:rowOff>1853117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97" y="20531867"/>
          <a:ext cx="1332855" cy="1800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xdr:sp macro="" textlink="">
      <xdr:nvSpPr>
        <xdr:cNvPr id="9" name="CuadroTexto 15">
          <a:extLst>
            <a:ext uri="{FF2B5EF4-FFF2-40B4-BE49-F238E27FC236}">
              <a16:creationId xmlns:a16="http://schemas.microsoft.com/office/drawing/2014/main" id="{14D38863-A958-44A1-BF80-1962F5ABE349}"/>
            </a:ext>
          </a:extLst>
        </xdr:cNvPr>
        <xdr:cNvSpPr txBox="1"/>
      </xdr:nvSpPr>
      <xdr:spPr>
        <a:xfrm>
          <a:off x="2936373" y="13556270"/>
          <a:ext cx="1519198" cy="3025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latin typeface="Cambria Math"/>
            </a:rPr>
            <a:t>¯</a:t>
          </a:r>
          <a:r>
            <a:rPr lang="es-CO" sz="1050" b="1" i="0">
              <a:latin typeface="Cambria Math" panose="02040503050406030204" pitchFamily="18" charset="0"/>
            </a:rPr>
            <a:t>𝐕𝐢=</a:t>
          </a:r>
          <a:r>
            <a:rPr lang="es-CO" sz="1050" b="1" i="0">
              <a:latin typeface="Cambria Math"/>
            </a:rPr>
            <a:t>(</a:t>
          </a:r>
          <a:r>
            <a:rPr lang="es-CO" sz="1050" b="1" i="0">
              <a:latin typeface="Cambria Math" panose="02040503050406030204" pitchFamily="18" charset="0"/>
            </a:rPr>
            <a:t>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𝟎.𝟐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+𝟐∗𝐕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𝟎.𝟒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𝟎.𝟖</a:t>
          </a:r>
          <a:r>
            <a:rPr lang="es-CO" sz="1050" b="1" i="0">
              <a:latin typeface="Cambria Math"/>
            </a:rPr>
            <a:t>))/</a:t>
          </a:r>
          <a:r>
            <a:rPr lang="es-CO" sz="1050" b="1" i="0">
              <a:latin typeface="Cambria Math" panose="02040503050406030204" pitchFamily="18" charset="0"/>
            </a:rPr>
            <a:t>𝟒</a:t>
          </a:r>
          <a:endParaRPr lang="es-CO" sz="1050" b="1" i="0"/>
        </a:p>
      </xdr:txBody>
    </xdr:sp>
    <xdr:clientData/>
  </xdr:oneCellAnchor>
  <xdr:oneCellAnchor>
    <xdr:from>
      <xdr:col>4</xdr:col>
      <xdr:colOff>455076</xdr:colOff>
      <xdr:row>71</xdr:row>
      <xdr:rowOff>110032</xdr:rowOff>
    </xdr:from>
    <xdr:ext cx="4086888" cy="308674"/>
    <xdr:sp macro="" textlink="">
      <xdr:nvSpPr>
        <xdr:cNvPr id="10" name="29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2683926" y="14092732"/>
          <a:ext cx="4086888" cy="308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050" b="1" i="0">
              <a:solidFill>
                <a:sysClr val="windowText" lastClr="000000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ysClr val="windowText" lastClr="000000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=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𝟐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𝟑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𝟎.𝟒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𝟓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𝟔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〖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𝟖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𝟗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〗_(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𝐬𝐮𝐩𝐟 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))/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𝟏𝟎</a:t>
          </a:r>
        </a:p>
      </xdr:txBody>
    </xdr:sp>
    <xdr:clientData/>
  </xdr:oneCellAnchor>
  <xdr:oneCellAnchor>
    <xdr:from>
      <xdr:col>10</xdr:col>
      <xdr:colOff>342110</xdr:colOff>
      <xdr:row>71</xdr:row>
      <xdr:rowOff>62344</xdr:rowOff>
    </xdr:from>
    <xdr:ext cx="1313516" cy="355023"/>
    <xdr:sp macro="" textlink="">
      <xdr:nvSpPr>
        <xdr:cNvPr id="11" name="20 CuadroTexto">
          <a:extLst>
            <a:ext uri="{FF2B5EF4-FFF2-40B4-BE49-F238E27FC236}">
              <a16:creationId xmlns:a16="http://schemas.microsoft.com/office/drawing/2014/main" id="{B890F03E-4165-4DE0-9AFB-4A22B6951804}"/>
            </a:ext>
          </a:extLst>
        </xdr:cNvPr>
        <xdr:cNvSpPr txBox="1"/>
      </xdr:nvSpPr>
      <xdr:spPr>
        <a:xfrm>
          <a:off x="6857210" y="14045044"/>
          <a:ext cx="1313516" cy="355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𝐀𝐢=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(〖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(𝐡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〗_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𝐢+𝟏 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)</a:t>
          </a:r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∗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𝐛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)/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𝟐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263225</xdr:colOff>
      <xdr:row>71</xdr:row>
      <xdr:rowOff>133481</xdr:rowOff>
    </xdr:from>
    <xdr:ext cx="1059883" cy="279820"/>
    <xdr:sp macro="" textlink="">
      <xdr:nvSpPr>
        <xdr:cNvPr id="12" name="19 CuadroTexto">
          <a:extLst>
            <a:ext uri="{FF2B5EF4-FFF2-40B4-BE49-F238E27FC236}">
              <a16:creationId xmlns:a16="http://schemas.microsoft.com/office/drawing/2014/main" id="{4B78248E-C7BB-4DE6-B215-EE8384164C2D}"/>
            </a:ext>
          </a:extLst>
        </xdr:cNvPr>
        <xdr:cNvSpPr txBox="1"/>
      </xdr:nvSpPr>
      <xdr:spPr>
        <a:xfrm>
          <a:off x="9635825" y="14116181"/>
          <a:ext cx="1059883" cy="279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𝐐𝐢=𝐀𝐢∗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311720</xdr:colOff>
      <xdr:row>71</xdr:row>
      <xdr:rowOff>102839</xdr:rowOff>
    </xdr:from>
    <xdr:ext cx="1058367" cy="328360"/>
    <xdr:sp macro="" textlink="">
      <xdr:nvSpPr>
        <xdr:cNvPr id="13" name="CuadroTexto 19">
          <a:extLst>
            <a:ext uri="{FF2B5EF4-FFF2-40B4-BE49-F238E27FC236}">
              <a16:creationId xmlns:a16="http://schemas.microsoft.com/office/drawing/2014/main" id="{756197F7-E6FE-49DD-AEE2-CFBBF99A9C66}"/>
            </a:ext>
          </a:extLst>
        </xdr:cNvPr>
        <xdr:cNvSpPr txBox="1"/>
      </xdr:nvSpPr>
      <xdr:spPr>
        <a:xfrm>
          <a:off x="1073720" y="14085539"/>
          <a:ext cx="1058367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%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=  𝐐𝐢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/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𝐐𝐭∗𝟏𝟎𝟎</a:t>
          </a:r>
          <a:endParaRPr lang="es-CO" sz="1050" b="1" i="0" u="none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436291</xdr:colOff>
      <xdr:row>71</xdr:row>
      <xdr:rowOff>129757</xdr:rowOff>
    </xdr:from>
    <xdr:ext cx="907300" cy="317972"/>
    <xdr:sp macro="" textlink="">
      <xdr:nvSpPr>
        <xdr:cNvPr id="14" name="CuadroTexto 20">
          <a:extLst>
            <a:ext uri="{FF2B5EF4-FFF2-40B4-BE49-F238E27FC236}">
              <a16:creationId xmlns:a16="http://schemas.microsoft.com/office/drawing/2014/main" id="{E35B2A1D-33C4-4A4B-A9DE-2E22C5485924}"/>
            </a:ext>
          </a:extLst>
        </xdr:cNvPr>
        <xdr:cNvSpPr txBox="1"/>
      </xdr:nvSpPr>
      <xdr:spPr>
        <a:xfrm>
          <a:off x="8380141" y="14112457"/>
          <a:ext cx="907300" cy="3179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𝑽𝒎𝒆𝒅𝒊𝒂=𝑸𝒕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𝑨𝒊</a:t>
          </a:r>
          <a:endParaRPr lang="es-CO" sz="1100" b="1" i="1">
            <a:solidFill>
              <a:schemeClr val="tx1"/>
            </a:solidFill>
            <a:effectLst/>
            <a:latin typeface="Cambria Math" panose="02040503050406030204" pitchFamily="18" charset="0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56087</xdr:colOff>
      <xdr:row>68</xdr:row>
      <xdr:rowOff>56351</xdr:rowOff>
    </xdr:from>
    <xdr:ext cx="1322606" cy="342466"/>
    <xdr:sp macro="" textlink="">
      <xdr:nvSpPr>
        <xdr:cNvPr id="15" name="CuadroTexto 21">
          <a:extLst>
            <a:ext uri="{FF2B5EF4-FFF2-40B4-BE49-F238E27FC236}">
              <a16:creationId xmlns:a16="http://schemas.microsoft.com/office/drawing/2014/main" id="{0E94871D-9018-4FB9-936B-0E0BFD977424}"/>
            </a:ext>
          </a:extLst>
        </xdr:cNvPr>
        <xdr:cNvSpPr txBox="1"/>
      </xdr:nvSpPr>
      <xdr:spPr>
        <a:xfrm>
          <a:off x="5142437" y="13524701"/>
          <a:ext cx="1322606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00" b="1" i="0">
              <a:latin typeface="Cambria Math"/>
            </a:rPr>
            <a:t>(</a:t>
          </a:r>
          <a:r>
            <a:rPr lang="es-CO" sz="1000" b="1" i="0">
              <a:latin typeface="Cambria Math" panose="02040503050406030204" pitchFamily="18" charset="0"/>
            </a:rPr>
            <a:t>𝑽</a:t>
          </a:r>
          <a:r>
            <a:rPr lang="es-CO" sz="1000" b="1" i="0">
              <a:latin typeface="Cambria Math"/>
            </a:rPr>
            <a:t>_</a:t>
          </a:r>
          <a:r>
            <a:rPr lang="es-CO" sz="1000" b="1" i="0">
              <a:latin typeface="Cambria Math" panose="02040503050406030204" pitchFamily="18" charset="0"/>
            </a:rPr>
            <a:t>𝒊</a:t>
          </a:r>
          <a:r>
            <a:rPr lang="es-CO" sz="1000" b="1" i="0">
              <a:latin typeface="Cambria Math"/>
            </a:rPr>
            <a:t> ) ̅[</a:t>
          </a:r>
          <a:r>
            <a:rPr lang="es-CO" sz="1000" b="1" i="0">
              <a:latin typeface="Cambria Math" panose="02040503050406030204" pitchFamily="18" charset="0"/>
            </a:rPr>
            <a:t>𝒇𝒕</a:t>
          </a:r>
          <a:r>
            <a:rPr lang="es-CO" sz="1000" b="1" i="0">
              <a:latin typeface="Cambria Math"/>
            </a:rPr>
            <a:t>/</a:t>
          </a:r>
          <a:r>
            <a:rPr lang="es-CO" sz="1000" b="1" i="0">
              <a:latin typeface="Cambria Math" panose="02040503050406030204" pitchFamily="18" charset="0"/>
            </a:rPr>
            <a:t>𝒔</a:t>
          </a:r>
          <a:r>
            <a:rPr lang="es-CO" sz="1000" b="1" i="0">
              <a:latin typeface="Cambria Math"/>
            </a:rPr>
            <a:t>]</a:t>
          </a:r>
          <a:r>
            <a:rPr lang="es-CO" sz="1000" b="1" i="0">
              <a:latin typeface="Cambria Math" panose="02040503050406030204" pitchFamily="18" charset="0"/>
            </a:rPr>
            <a:t>=𝟑,𝟐𝟖∗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̅[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𝒎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]</a:t>
          </a:r>
          <a:endParaRPr lang="es-CO" sz="1000" b="1" i="0"/>
        </a:p>
      </xdr:txBody>
    </xdr:sp>
    <xdr:clientData/>
  </xdr:oneCellAnchor>
  <xdr:oneCellAnchor>
    <xdr:from>
      <xdr:col>2</xdr:col>
      <xdr:colOff>96182</xdr:colOff>
      <xdr:row>68</xdr:row>
      <xdr:rowOff>41166</xdr:rowOff>
    </xdr:from>
    <xdr:ext cx="1500411" cy="342914"/>
    <xdr:sp macro="" textlink="">
      <xdr:nvSpPr>
        <xdr:cNvPr id="16" name="CuadroTexto 23">
          <a:extLst>
            <a:ext uri="{FF2B5EF4-FFF2-40B4-BE49-F238E27FC236}">
              <a16:creationId xmlns:a16="http://schemas.microsoft.com/office/drawing/2014/main" id="{DF4E5537-3FC9-4C1C-AAD2-18E7D998A2C4}"/>
            </a:ext>
          </a:extLst>
        </xdr:cNvPr>
        <xdr:cNvSpPr txBox="1"/>
      </xdr:nvSpPr>
      <xdr:spPr>
        <a:xfrm>
          <a:off x="858182" y="13509516"/>
          <a:ext cx="1500411" cy="342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𝐑𝐩𝐦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=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𝑹𝒆𝒗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𝐭𝐜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𝒔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 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𝟔𝟎 [𝒔]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)/(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𝟏[𝒎𝒊𝒏]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</a:t>
          </a:r>
          <a:endParaRPr lang="es-CO" sz="1050" b="1" i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553512</xdr:colOff>
      <xdr:row>68</xdr:row>
      <xdr:rowOff>135078</xdr:rowOff>
    </xdr:from>
    <xdr:ext cx="3601499" cy="346377"/>
    <xdr:sp macro="" textlink="">
      <xdr:nvSpPr>
        <xdr:cNvPr id="17" name="21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7068612" y="13603428"/>
          <a:ext cx="3601499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=𝟎.𝟏∗(𝑽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𝒔𝒖𝒑𝒇+𝟑∗𝑽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𝟎.𝟐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𝟎.𝟔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+𝟐∗𝑽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𝟎.𝟖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𝒍𝒆𝒄𝒉𝒐)</a:t>
          </a:r>
        </a:p>
        <a:p>
          <a:pPr marL="0" indent="0"/>
          <a:endParaRPr/>
        </a:p>
      </xdr:txBody>
    </xdr:sp>
    <xdr:clientData/>
  </xdr:oneCellAnchor>
  <xdr:twoCellAnchor editAs="oneCell">
    <xdr:from>
      <xdr:col>13</xdr:col>
      <xdr:colOff>415515</xdr:colOff>
      <xdr:row>99</xdr:row>
      <xdr:rowOff>96203</xdr:rowOff>
    </xdr:from>
    <xdr:to>
      <xdr:col>15</xdr:col>
      <xdr:colOff>318715</xdr:colOff>
      <xdr:row>99</xdr:row>
      <xdr:rowOff>1917857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73740" y="20574953"/>
          <a:ext cx="1331950" cy="1821654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259080</xdr:colOff>
      <xdr:row>99</xdr:row>
      <xdr:rowOff>91440</xdr:rowOff>
    </xdr:from>
    <xdr:to>
      <xdr:col>8</xdr:col>
      <xdr:colOff>162280</xdr:colOff>
      <xdr:row>99</xdr:row>
      <xdr:rowOff>1913094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6680" y="20570190"/>
          <a:ext cx="1331950" cy="1821654"/>
        </a:xfrm>
        <a:prstGeom prst="rect">
          <a:avLst/>
        </a:prstGeom>
      </xdr:spPr>
    </xdr:pic>
    <xdr:clientData/>
  </xdr:twoCellAnchor>
  <xdr:twoCellAnchor editAs="oneCell">
    <xdr:from>
      <xdr:col>8</xdr:col>
      <xdr:colOff>373380</xdr:colOff>
      <xdr:row>99</xdr:row>
      <xdr:rowOff>83820</xdr:rowOff>
    </xdr:from>
    <xdr:to>
      <xdr:col>10</xdr:col>
      <xdr:colOff>276580</xdr:colOff>
      <xdr:row>99</xdr:row>
      <xdr:rowOff>1905473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9730" y="20562570"/>
          <a:ext cx="1331950" cy="1821653"/>
        </a:xfrm>
        <a:prstGeom prst="rect">
          <a:avLst/>
        </a:prstGeom>
      </xdr:spPr>
    </xdr:pic>
    <xdr:clientData/>
  </xdr:twoCellAnchor>
  <xdr:twoCellAnchor editAs="oneCell">
    <xdr:from>
      <xdr:col>3</xdr:col>
      <xdr:colOff>117409</xdr:colOff>
      <xdr:row>99</xdr:row>
      <xdr:rowOff>129540</xdr:rowOff>
    </xdr:from>
    <xdr:to>
      <xdr:col>5</xdr:col>
      <xdr:colOff>655889</xdr:colOff>
      <xdr:row>99</xdr:row>
      <xdr:rowOff>1630680</xdr:rowOff>
    </xdr:to>
    <xdr:pic>
      <xdr:nvPicPr>
        <xdr:cNvPr id="22" name="Imagen 2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884" y="20608290"/>
          <a:ext cx="1967230" cy="150114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</xdr:row>
      <xdr:rowOff>43637</xdr:rowOff>
    </xdr:from>
    <xdr:to>
      <xdr:col>3</xdr:col>
      <xdr:colOff>381000</xdr:colOff>
      <xdr:row>2</xdr:row>
      <xdr:rowOff>318745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00050" y="100787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66675</xdr:rowOff>
    </xdr:from>
    <xdr:to>
      <xdr:col>15</xdr:col>
      <xdr:colOff>350543</xdr:colOff>
      <xdr:row>2</xdr:row>
      <xdr:rowOff>304800</xdr:rowOff>
    </xdr:to>
    <xdr:pic>
      <xdr:nvPicPr>
        <xdr:cNvPr id="2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9767241" y="12382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831205" y="3859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664832</xdr:colOff>
      <xdr:row>74</xdr:row>
      <xdr:rowOff>93927</xdr:rowOff>
    </xdr:from>
    <xdr:ext cx="299578" cy="156518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22432" y="14590977"/>
          <a:ext cx="299578" cy="1565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822007" y="40671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91</xdr:row>
      <xdr:rowOff>15875</xdr:rowOff>
    </xdr:from>
    <xdr:to>
      <xdr:col>5</xdr:col>
      <xdr:colOff>255663</xdr:colOff>
      <xdr:row>96</xdr:row>
      <xdr:rowOff>139739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913350"/>
          <a:ext cx="3041196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332051</xdr:colOff>
      <xdr:row>91</xdr:row>
      <xdr:rowOff>15875</xdr:rowOff>
    </xdr:from>
    <xdr:to>
      <xdr:col>10</xdr:col>
      <xdr:colOff>481636</xdr:colOff>
      <xdr:row>96</xdr:row>
      <xdr:rowOff>139739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989651" y="17913350"/>
          <a:ext cx="3007085" cy="180026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358365</xdr:colOff>
      <xdr:row>99</xdr:row>
      <xdr:rowOff>123773</xdr:rowOff>
    </xdr:from>
    <xdr:to>
      <xdr:col>15</xdr:col>
      <xdr:colOff>504825</xdr:colOff>
      <xdr:row>99</xdr:row>
      <xdr:rowOff>1859626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7840" y="20602523"/>
          <a:ext cx="3003960" cy="1735853"/>
        </a:xfrm>
        <a:prstGeom prst="rect">
          <a:avLst/>
        </a:prstGeom>
      </xdr:spPr>
    </xdr:pic>
    <xdr:clientData/>
  </xdr:twoCellAnchor>
  <xdr:twoCellAnchor editAs="oneCell">
    <xdr:from>
      <xdr:col>1</xdr:col>
      <xdr:colOff>191897</xdr:colOff>
      <xdr:row>99</xdr:row>
      <xdr:rowOff>81227</xdr:rowOff>
    </xdr:from>
    <xdr:to>
      <xdr:col>5</xdr:col>
      <xdr:colOff>485775</xdr:colOff>
      <xdr:row>99</xdr:row>
      <xdr:rowOff>1943100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422" y="20559977"/>
          <a:ext cx="3227578" cy="186187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xdr:sp macro="" textlink="">
      <xdr:nvSpPr>
        <xdr:cNvPr id="9" name="CuadroTexto 15">
          <a:extLst>
            <a:ext uri="{FF2B5EF4-FFF2-40B4-BE49-F238E27FC236}">
              <a16:creationId xmlns:a16="http://schemas.microsoft.com/office/drawing/2014/main" id="{14D38863-A958-44A1-BF80-1962F5ABE349}"/>
            </a:ext>
          </a:extLst>
        </xdr:cNvPr>
        <xdr:cNvSpPr txBox="1"/>
      </xdr:nvSpPr>
      <xdr:spPr>
        <a:xfrm>
          <a:off x="2936373" y="13556270"/>
          <a:ext cx="1519198" cy="3025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latin typeface="Cambria Math"/>
            </a:rPr>
            <a:t>¯</a:t>
          </a:r>
          <a:r>
            <a:rPr lang="es-CO" sz="1050" b="1" i="0">
              <a:latin typeface="Cambria Math" panose="02040503050406030204" pitchFamily="18" charset="0"/>
            </a:rPr>
            <a:t>𝐕𝐢=</a:t>
          </a:r>
          <a:r>
            <a:rPr lang="es-CO" sz="1050" b="1" i="0">
              <a:latin typeface="Cambria Math"/>
            </a:rPr>
            <a:t>(</a:t>
          </a:r>
          <a:r>
            <a:rPr lang="es-CO" sz="1050" b="1" i="0">
              <a:latin typeface="Cambria Math" panose="02040503050406030204" pitchFamily="18" charset="0"/>
            </a:rPr>
            <a:t>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𝟎.𝟐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+𝟐∗𝐕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𝟎.𝟒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𝟎.𝟖</a:t>
          </a:r>
          <a:r>
            <a:rPr lang="es-CO" sz="1050" b="1" i="0">
              <a:latin typeface="Cambria Math"/>
            </a:rPr>
            <a:t>))/</a:t>
          </a:r>
          <a:r>
            <a:rPr lang="es-CO" sz="1050" b="1" i="0">
              <a:latin typeface="Cambria Math" panose="02040503050406030204" pitchFamily="18" charset="0"/>
            </a:rPr>
            <a:t>𝟒</a:t>
          </a:r>
          <a:endParaRPr lang="es-CO" sz="1050" b="1" i="0"/>
        </a:p>
      </xdr:txBody>
    </xdr:sp>
    <xdr:clientData/>
  </xdr:oneCellAnchor>
  <xdr:oneCellAnchor>
    <xdr:from>
      <xdr:col>4</xdr:col>
      <xdr:colOff>455076</xdr:colOff>
      <xdr:row>71</xdr:row>
      <xdr:rowOff>110032</xdr:rowOff>
    </xdr:from>
    <xdr:ext cx="4086888" cy="308674"/>
    <xdr:sp macro="" textlink="">
      <xdr:nvSpPr>
        <xdr:cNvPr id="10" name="29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2683926" y="14092732"/>
          <a:ext cx="4086888" cy="308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050" b="1" i="0">
              <a:solidFill>
                <a:sysClr val="windowText" lastClr="000000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ysClr val="windowText" lastClr="000000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=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𝟐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𝟑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𝟎.𝟒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𝟓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𝟔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〖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𝟖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𝟗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〗_(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𝐬𝐮𝐩𝐟 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))/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𝟏𝟎</a:t>
          </a:r>
        </a:p>
      </xdr:txBody>
    </xdr:sp>
    <xdr:clientData/>
  </xdr:oneCellAnchor>
  <xdr:oneCellAnchor>
    <xdr:from>
      <xdr:col>10</xdr:col>
      <xdr:colOff>342110</xdr:colOff>
      <xdr:row>71</xdr:row>
      <xdr:rowOff>62344</xdr:rowOff>
    </xdr:from>
    <xdr:ext cx="1313516" cy="355023"/>
    <xdr:sp macro="" textlink="">
      <xdr:nvSpPr>
        <xdr:cNvPr id="11" name="20 CuadroTexto">
          <a:extLst>
            <a:ext uri="{FF2B5EF4-FFF2-40B4-BE49-F238E27FC236}">
              <a16:creationId xmlns:a16="http://schemas.microsoft.com/office/drawing/2014/main" id="{B890F03E-4165-4DE0-9AFB-4A22B6951804}"/>
            </a:ext>
          </a:extLst>
        </xdr:cNvPr>
        <xdr:cNvSpPr txBox="1"/>
      </xdr:nvSpPr>
      <xdr:spPr>
        <a:xfrm>
          <a:off x="6857210" y="14045044"/>
          <a:ext cx="1313516" cy="355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𝐀𝐢=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(〖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(𝐡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〗_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𝐢+𝟏 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)</a:t>
          </a:r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∗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𝐛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)/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𝟐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263225</xdr:colOff>
      <xdr:row>71</xdr:row>
      <xdr:rowOff>133481</xdr:rowOff>
    </xdr:from>
    <xdr:ext cx="1059883" cy="279820"/>
    <xdr:sp macro="" textlink="">
      <xdr:nvSpPr>
        <xdr:cNvPr id="12" name="19 CuadroTexto">
          <a:extLst>
            <a:ext uri="{FF2B5EF4-FFF2-40B4-BE49-F238E27FC236}">
              <a16:creationId xmlns:a16="http://schemas.microsoft.com/office/drawing/2014/main" id="{4B78248E-C7BB-4DE6-B215-EE8384164C2D}"/>
            </a:ext>
          </a:extLst>
        </xdr:cNvPr>
        <xdr:cNvSpPr txBox="1"/>
      </xdr:nvSpPr>
      <xdr:spPr>
        <a:xfrm>
          <a:off x="9635825" y="14116181"/>
          <a:ext cx="1059883" cy="279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𝐐𝐢=𝐀𝐢∗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311720</xdr:colOff>
      <xdr:row>71</xdr:row>
      <xdr:rowOff>102839</xdr:rowOff>
    </xdr:from>
    <xdr:ext cx="1058367" cy="328360"/>
    <xdr:sp macro="" textlink="">
      <xdr:nvSpPr>
        <xdr:cNvPr id="13" name="CuadroTexto 19">
          <a:extLst>
            <a:ext uri="{FF2B5EF4-FFF2-40B4-BE49-F238E27FC236}">
              <a16:creationId xmlns:a16="http://schemas.microsoft.com/office/drawing/2014/main" id="{756197F7-E6FE-49DD-AEE2-CFBBF99A9C66}"/>
            </a:ext>
          </a:extLst>
        </xdr:cNvPr>
        <xdr:cNvSpPr txBox="1"/>
      </xdr:nvSpPr>
      <xdr:spPr>
        <a:xfrm>
          <a:off x="1073720" y="14085539"/>
          <a:ext cx="1058367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%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=  𝐐𝐢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/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𝐐𝐭∗𝟏𝟎𝟎</a:t>
          </a:r>
          <a:endParaRPr lang="es-CO" sz="1050" b="1" i="0" u="none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436291</xdr:colOff>
      <xdr:row>71</xdr:row>
      <xdr:rowOff>129757</xdr:rowOff>
    </xdr:from>
    <xdr:ext cx="907300" cy="317972"/>
    <xdr:sp macro="" textlink="">
      <xdr:nvSpPr>
        <xdr:cNvPr id="14" name="CuadroTexto 20">
          <a:extLst>
            <a:ext uri="{FF2B5EF4-FFF2-40B4-BE49-F238E27FC236}">
              <a16:creationId xmlns:a16="http://schemas.microsoft.com/office/drawing/2014/main" id="{E35B2A1D-33C4-4A4B-A9DE-2E22C5485924}"/>
            </a:ext>
          </a:extLst>
        </xdr:cNvPr>
        <xdr:cNvSpPr txBox="1"/>
      </xdr:nvSpPr>
      <xdr:spPr>
        <a:xfrm>
          <a:off x="8380141" y="14112457"/>
          <a:ext cx="907300" cy="3179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𝑽𝒎𝒆𝒅𝒊𝒂=𝑸𝒕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𝑨𝒊</a:t>
          </a:r>
          <a:endParaRPr lang="es-CO" sz="1100" b="1" i="1">
            <a:solidFill>
              <a:schemeClr val="tx1"/>
            </a:solidFill>
            <a:effectLst/>
            <a:latin typeface="Cambria Math" panose="02040503050406030204" pitchFamily="18" charset="0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56087</xdr:colOff>
      <xdr:row>68</xdr:row>
      <xdr:rowOff>56351</xdr:rowOff>
    </xdr:from>
    <xdr:ext cx="1322606" cy="342466"/>
    <xdr:sp macro="" textlink="">
      <xdr:nvSpPr>
        <xdr:cNvPr id="15" name="CuadroTexto 21">
          <a:extLst>
            <a:ext uri="{FF2B5EF4-FFF2-40B4-BE49-F238E27FC236}">
              <a16:creationId xmlns:a16="http://schemas.microsoft.com/office/drawing/2014/main" id="{0E94871D-9018-4FB9-936B-0E0BFD977424}"/>
            </a:ext>
          </a:extLst>
        </xdr:cNvPr>
        <xdr:cNvSpPr txBox="1"/>
      </xdr:nvSpPr>
      <xdr:spPr>
        <a:xfrm>
          <a:off x="5142437" y="13524701"/>
          <a:ext cx="1322606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00" b="1" i="0">
              <a:latin typeface="Cambria Math"/>
            </a:rPr>
            <a:t>(</a:t>
          </a:r>
          <a:r>
            <a:rPr lang="es-CO" sz="1000" b="1" i="0">
              <a:latin typeface="Cambria Math" panose="02040503050406030204" pitchFamily="18" charset="0"/>
            </a:rPr>
            <a:t>𝑽</a:t>
          </a:r>
          <a:r>
            <a:rPr lang="es-CO" sz="1000" b="1" i="0">
              <a:latin typeface="Cambria Math"/>
            </a:rPr>
            <a:t>_</a:t>
          </a:r>
          <a:r>
            <a:rPr lang="es-CO" sz="1000" b="1" i="0">
              <a:latin typeface="Cambria Math" panose="02040503050406030204" pitchFamily="18" charset="0"/>
            </a:rPr>
            <a:t>𝒊</a:t>
          </a:r>
          <a:r>
            <a:rPr lang="es-CO" sz="1000" b="1" i="0">
              <a:latin typeface="Cambria Math"/>
            </a:rPr>
            <a:t> ) ̅[</a:t>
          </a:r>
          <a:r>
            <a:rPr lang="es-CO" sz="1000" b="1" i="0">
              <a:latin typeface="Cambria Math" panose="02040503050406030204" pitchFamily="18" charset="0"/>
            </a:rPr>
            <a:t>𝒇𝒕</a:t>
          </a:r>
          <a:r>
            <a:rPr lang="es-CO" sz="1000" b="1" i="0">
              <a:latin typeface="Cambria Math"/>
            </a:rPr>
            <a:t>/</a:t>
          </a:r>
          <a:r>
            <a:rPr lang="es-CO" sz="1000" b="1" i="0">
              <a:latin typeface="Cambria Math" panose="02040503050406030204" pitchFamily="18" charset="0"/>
            </a:rPr>
            <a:t>𝒔</a:t>
          </a:r>
          <a:r>
            <a:rPr lang="es-CO" sz="1000" b="1" i="0">
              <a:latin typeface="Cambria Math"/>
            </a:rPr>
            <a:t>]</a:t>
          </a:r>
          <a:r>
            <a:rPr lang="es-CO" sz="1000" b="1" i="0">
              <a:latin typeface="Cambria Math" panose="02040503050406030204" pitchFamily="18" charset="0"/>
            </a:rPr>
            <a:t>=𝟑,𝟐𝟖∗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̅[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𝒎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]</a:t>
          </a:r>
          <a:endParaRPr lang="es-CO" sz="1000" b="1" i="0"/>
        </a:p>
      </xdr:txBody>
    </xdr:sp>
    <xdr:clientData/>
  </xdr:oneCellAnchor>
  <xdr:oneCellAnchor>
    <xdr:from>
      <xdr:col>2</xdr:col>
      <xdr:colOff>96182</xdr:colOff>
      <xdr:row>68</xdr:row>
      <xdr:rowOff>41166</xdr:rowOff>
    </xdr:from>
    <xdr:ext cx="1500411" cy="342914"/>
    <xdr:sp macro="" textlink="">
      <xdr:nvSpPr>
        <xdr:cNvPr id="16" name="CuadroTexto 23">
          <a:extLst>
            <a:ext uri="{FF2B5EF4-FFF2-40B4-BE49-F238E27FC236}">
              <a16:creationId xmlns:a16="http://schemas.microsoft.com/office/drawing/2014/main" id="{DF4E5537-3FC9-4C1C-AAD2-18E7D998A2C4}"/>
            </a:ext>
          </a:extLst>
        </xdr:cNvPr>
        <xdr:cNvSpPr txBox="1"/>
      </xdr:nvSpPr>
      <xdr:spPr>
        <a:xfrm>
          <a:off x="858182" y="13509516"/>
          <a:ext cx="1500411" cy="342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𝐑𝐩𝐦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=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𝑹𝒆𝒗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𝐭𝐜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𝒔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 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𝟔𝟎 [𝒔]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)/(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𝟏[𝒎𝒊𝒏]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</a:t>
          </a:r>
          <a:endParaRPr lang="es-CO" sz="1050" b="1" i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10</xdr:col>
      <xdr:colOff>553512</xdr:colOff>
      <xdr:row>68</xdr:row>
      <xdr:rowOff>135078</xdr:rowOff>
    </xdr:from>
    <xdr:ext cx="3601499" cy="346377"/>
    <xdr:sp macro="" textlink="">
      <xdr:nvSpPr>
        <xdr:cNvPr id="17" name="21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7068612" y="13603428"/>
          <a:ext cx="3601499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=𝟎.𝟏∗(𝑽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𝒔𝒖𝒑𝒇+𝟑∗𝑽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𝟎.𝟐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𝟎.𝟔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+𝟐∗𝑽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𝟎.𝟖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𝒍𝒆𝒄𝒉𝒐)</a:t>
          </a:r>
        </a:p>
        <a:p>
          <a:pPr marL="0" indent="0"/>
          <a:endParaRPr/>
        </a:p>
      </xdr:txBody>
    </xdr:sp>
    <xdr:clientData/>
  </xdr:oneCellAnchor>
  <xdr:twoCellAnchor editAs="oneCell">
    <xdr:from>
      <xdr:col>6</xdr:col>
      <xdr:colOff>271398</xdr:colOff>
      <xdr:row>99</xdr:row>
      <xdr:rowOff>100277</xdr:rowOff>
    </xdr:from>
    <xdr:to>
      <xdr:col>7</xdr:col>
      <xdr:colOff>587248</xdr:colOff>
      <xdr:row>99</xdr:row>
      <xdr:rowOff>1962150</xdr:rowOff>
    </xdr:to>
    <xdr:pic>
      <xdr:nvPicPr>
        <xdr:cNvPr id="19" name="Imagen 1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998" y="20579027"/>
          <a:ext cx="1030225" cy="1861873"/>
        </a:xfrm>
        <a:prstGeom prst="rect">
          <a:avLst/>
        </a:prstGeom>
      </xdr:spPr>
    </xdr:pic>
    <xdr:clientData/>
  </xdr:twoCellAnchor>
  <xdr:twoCellAnchor editAs="oneCell">
    <xdr:from>
      <xdr:col>8</xdr:col>
      <xdr:colOff>623823</xdr:colOff>
      <xdr:row>99</xdr:row>
      <xdr:rowOff>71703</xdr:rowOff>
    </xdr:from>
    <xdr:to>
      <xdr:col>10</xdr:col>
      <xdr:colOff>206248</xdr:colOff>
      <xdr:row>99</xdr:row>
      <xdr:rowOff>1933574</xdr:rowOff>
    </xdr:to>
    <xdr:pic>
      <xdr:nvPicPr>
        <xdr:cNvPr id="20" name="Imagen 1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0173" y="20550453"/>
          <a:ext cx="1011175" cy="1861871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1</xdr:row>
      <xdr:rowOff>43637</xdr:rowOff>
    </xdr:from>
    <xdr:to>
      <xdr:col>3</xdr:col>
      <xdr:colOff>381000</xdr:colOff>
      <xdr:row>2</xdr:row>
      <xdr:rowOff>290170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00050" y="100787"/>
          <a:ext cx="1495425" cy="6275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394641</xdr:colOff>
      <xdr:row>1</xdr:row>
      <xdr:rowOff>66675</xdr:rowOff>
    </xdr:from>
    <xdr:to>
      <xdr:col>15</xdr:col>
      <xdr:colOff>350543</xdr:colOff>
      <xdr:row>2</xdr:row>
      <xdr:rowOff>276225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767241" y="123825"/>
          <a:ext cx="670277" cy="5905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topLeftCell="A19" zoomScale="85" zoomScaleNormal="85" workbookViewId="0">
      <selection activeCell="F43" sqref="F43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2" t="s">
        <v>39</v>
      </c>
      <c r="C2" s="102"/>
      <c r="D2" s="102"/>
      <c r="E2" s="102"/>
      <c r="F2" s="102"/>
      <c r="G2" s="102"/>
      <c r="H2" s="102"/>
      <c r="I2" s="102"/>
      <c r="J2" s="102"/>
    </row>
    <row r="3" spans="2:10" ht="6.75" customHeight="1" x14ac:dyDescent="0.25">
      <c r="B3" s="103"/>
      <c r="C3" s="104"/>
      <c r="D3" s="104"/>
      <c r="E3" s="104"/>
      <c r="F3" s="104"/>
      <c r="G3" s="104"/>
      <c r="H3" s="104"/>
      <c r="I3" s="104"/>
      <c r="J3" s="105"/>
    </row>
    <row r="4" spans="2:10" x14ac:dyDescent="0.25">
      <c r="B4" s="106"/>
      <c r="C4" s="108"/>
      <c r="D4" s="108"/>
      <c r="E4" s="108"/>
      <c r="F4" s="108"/>
      <c r="G4" s="108"/>
      <c r="H4" s="108"/>
      <c r="I4" s="108"/>
      <c r="J4" s="109"/>
    </row>
    <row r="5" spans="2:10" x14ac:dyDescent="0.25">
      <c r="B5" s="106"/>
      <c r="C5" s="108"/>
      <c r="D5" s="108"/>
      <c r="E5" s="108"/>
      <c r="F5" s="108"/>
      <c r="G5" s="108"/>
      <c r="H5" s="108"/>
      <c r="I5" s="108"/>
      <c r="J5" s="109"/>
    </row>
    <row r="6" spans="2:10" x14ac:dyDescent="0.25">
      <c r="B6" s="106"/>
      <c r="C6" s="108"/>
      <c r="D6" s="108"/>
      <c r="E6" s="108"/>
      <c r="F6" s="108"/>
      <c r="G6" s="108"/>
      <c r="H6" s="108"/>
      <c r="I6" s="108"/>
      <c r="J6" s="109"/>
    </row>
    <row r="7" spans="2:10" x14ac:dyDescent="0.25">
      <c r="B7" s="106"/>
      <c r="C7" s="108"/>
      <c r="D7" s="108"/>
      <c r="E7" s="108"/>
      <c r="F7" s="108"/>
      <c r="G7" s="108"/>
      <c r="H7" s="108"/>
      <c r="I7" s="108"/>
      <c r="J7" s="109"/>
    </row>
    <row r="8" spans="2:10" x14ac:dyDescent="0.25">
      <c r="B8" s="106"/>
      <c r="C8" s="108"/>
      <c r="D8" s="108"/>
      <c r="E8" s="108"/>
      <c r="F8" s="108"/>
      <c r="G8" s="108"/>
      <c r="H8" s="108"/>
      <c r="I8" s="108"/>
      <c r="J8" s="109"/>
    </row>
    <row r="9" spans="2:10" x14ac:dyDescent="0.25">
      <c r="B9" s="106"/>
      <c r="C9" s="108"/>
      <c r="D9" s="108"/>
      <c r="E9" s="108"/>
      <c r="F9" s="108"/>
      <c r="G9" s="108"/>
      <c r="H9" s="108"/>
      <c r="I9" s="108"/>
      <c r="J9" s="109"/>
    </row>
    <row r="10" spans="2:10" x14ac:dyDescent="0.25">
      <c r="B10" s="106"/>
      <c r="C10" s="108"/>
      <c r="D10" s="108"/>
      <c r="E10" s="108"/>
      <c r="F10" s="108"/>
      <c r="G10" s="108"/>
      <c r="H10" s="108"/>
      <c r="I10" s="108"/>
      <c r="J10" s="109"/>
    </row>
    <row r="11" spans="2:10" x14ac:dyDescent="0.25">
      <c r="B11" s="106"/>
      <c r="C11" s="108"/>
      <c r="D11" s="108"/>
      <c r="E11" s="108"/>
      <c r="F11" s="108"/>
      <c r="G11" s="108"/>
      <c r="H11" s="108"/>
      <c r="I11" s="108"/>
      <c r="J11" s="109"/>
    </row>
    <row r="12" spans="2:10" x14ac:dyDescent="0.25">
      <c r="B12" s="106"/>
      <c r="C12" s="108"/>
      <c r="D12" s="108"/>
      <c r="E12" s="108"/>
      <c r="F12" s="108"/>
      <c r="G12" s="108"/>
      <c r="H12" s="108"/>
      <c r="I12" s="108"/>
      <c r="J12" s="109"/>
    </row>
    <row r="13" spans="2:10" x14ac:dyDescent="0.25">
      <c r="B13" s="106"/>
      <c r="C13" s="108"/>
      <c r="D13" s="108"/>
      <c r="E13" s="108"/>
      <c r="F13" s="108"/>
      <c r="G13" s="108"/>
      <c r="H13" s="108"/>
      <c r="I13" s="108"/>
      <c r="J13" s="109"/>
    </row>
    <row r="14" spans="2:10" x14ac:dyDescent="0.25">
      <c r="B14" s="106"/>
      <c r="C14" s="108"/>
      <c r="D14" s="108"/>
      <c r="E14" s="108"/>
      <c r="F14" s="108"/>
      <c r="G14" s="108"/>
      <c r="H14" s="108"/>
      <c r="I14" s="108"/>
      <c r="J14" s="109"/>
    </row>
    <row r="15" spans="2:10" x14ac:dyDescent="0.25">
      <c r="B15" s="106"/>
      <c r="C15" s="108"/>
      <c r="D15" s="108"/>
      <c r="E15" s="108"/>
      <c r="F15" s="108"/>
      <c r="G15" s="108"/>
      <c r="H15" s="108"/>
      <c r="I15" s="108"/>
      <c r="J15" s="109"/>
    </row>
    <row r="16" spans="2:10" x14ac:dyDescent="0.25">
      <c r="B16" s="106"/>
      <c r="C16" s="108"/>
      <c r="D16" s="108"/>
      <c r="E16" s="108"/>
      <c r="F16" s="108"/>
      <c r="G16" s="108"/>
      <c r="H16" s="108"/>
      <c r="I16" s="108"/>
      <c r="J16" s="109"/>
    </row>
    <row r="17" spans="2:10" x14ac:dyDescent="0.25">
      <c r="B17" s="106"/>
      <c r="C17" s="108"/>
      <c r="D17" s="108"/>
      <c r="E17" s="108"/>
      <c r="F17" s="108"/>
      <c r="G17" s="108"/>
      <c r="H17" s="108"/>
      <c r="I17" s="108"/>
      <c r="J17" s="109"/>
    </row>
    <row r="18" spans="2:10" x14ac:dyDescent="0.25">
      <c r="B18" s="106"/>
      <c r="C18" s="108"/>
      <c r="D18" s="108"/>
      <c r="E18" s="108"/>
      <c r="F18" s="108"/>
      <c r="G18" s="108"/>
      <c r="H18" s="108"/>
      <c r="I18" s="108"/>
      <c r="J18" s="109"/>
    </row>
    <row r="19" spans="2:10" x14ac:dyDescent="0.25">
      <c r="B19" s="106"/>
      <c r="C19" s="108"/>
      <c r="D19" s="108"/>
      <c r="E19" s="108"/>
      <c r="F19" s="108"/>
      <c r="G19" s="108"/>
      <c r="H19" s="108"/>
      <c r="I19" s="108"/>
      <c r="J19" s="109"/>
    </row>
    <row r="20" spans="2:10" x14ac:dyDescent="0.25">
      <c r="B20" s="106"/>
      <c r="C20" s="108"/>
      <c r="D20" s="108"/>
      <c r="E20" s="108"/>
      <c r="F20" s="108"/>
      <c r="G20" s="108"/>
      <c r="H20" s="108"/>
      <c r="I20" s="108"/>
      <c r="J20" s="109"/>
    </row>
    <row r="21" spans="2:10" x14ac:dyDescent="0.25">
      <c r="B21" s="106"/>
      <c r="C21" s="108"/>
      <c r="D21" s="108"/>
      <c r="E21" s="108"/>
      <c r="F21" s="108"/>
      <c r="G21" s="108"/>
      <c r="H21" s="108"/>
      <c r="I21" s="108"/>
      <c r="J21" s="109"/>
    </row>
    <row r="22" spans="2:10" ht="6.75" customHeight="1" x14ac:dyDescent="0.25">
      <c r="B22" s="107"/>
      <c r="C22" s="111"/>
      <c r="D22" s="111"/>
      <c r="E22" s="111"/>
      <c r="F22" s="111"/>
      <c r="G22" s="111"/>
      <c r="H22" s="111"/>
      <c r="I22" s="111"/>
      <c r="J22" s="110"/>
    </row>
    <row r="23" spans="2:10" x14ac:dyDescent="0.25">
      <c r="B23" s="1"/>
      <c r="C23" s="1"/>
      <c r="D23" s="1"/>
      <c r="E23" s="1"/>
      <c r="F23" s="1"/>
      <c r="G23" s="1"/>
      <c r="H23" s="1"/>
      <c r="I23" s="1"/>
    </row>
    <row r="24" spans="2:10" x14ac:dyDescent="0.25">
      <c r="B24" s="102" t="s">
        <v>40</v>
      </c>
      <c r="C24" s="102"/>
      <c r="D24" s="102"/>
      <c r="E24" s="102"/>
      <c r="F24" s="102"/>
      <c r="G24" s="102"/>
      <c r="H24" s="102"/>
      <c r="I24" s="102"/>
      <c r="J24" s="102"/>
    </row>
    <row r="25" spans="2:10" ht="6.75" customHeight="1" x14ac:dyDescent="0.25">
      <c r="B25" s="103"/>
      <c r="C25" s="104"/>
      <c r="D25" s="104"/>
      <c r="E25" s="104"/>
      <c r="F25" s="104"/>
      <c r="G25" s="104"/>
      <c r="H25" s="104"/>
      <c r="I25" s="104"/>
      <c r="J25" s="105"/>
    </row>
    <row r="26" spans="2:10" x14ac:dyDescent="0.25">
      <c r="B26" s="106"/>
      <c r="C26" s="108"/>
      <c r="D26" s="108"/>
      <c r="E26" s="108"/>
      <c r="F26" s="108"/>
      <c r="G26" s="108"/>
      <c r="H26" s="108"/>
      <c r="I26" s="108"/>
      <c r="J26" s="109"/>
    </row>
    <row r="27" spans="2:10" x14ac:dyDescent="0.25">
      <c r="B27" s="106"/>
      <c r="C27" s="108"/>
      <c r="D27" s="108"/>
      <c r="E27" s="108"/>
      <c r="F27" s="108"/>
      <c r="G27" s="108"/>
      <c r="H27" s="108"/>
      <c r="I27" s="108"/>
      <c r="J27" s="109"/>
    </row>
    <row r="28" spans="2:10" x14ac:dyDescent="0.25">
      <c r="B28" s="106"/>
      <c r="C28" s="108"/>
      <c r="D28" s="108"/>
      <c r="E28" s="108"/>
      <c r="F28" s="108"/>
      <c r="G28" s="108"/>
      <c r="H28" s="108"/>
      <c r="I28" s="108"/>
      <c r="J28" s="109"/>
    </row>
    <row r="29" spans="2:10" x14ac:dyDescent="0.25">
      <c r="B29" s="106"/>
      <c r="C29" s="108"/>
      <c r="D29" s="108"/>
      <c r="E29" s="108"/>
      <c r="F29" s="108"/>
      <c r="G29" s="108"/>
      <c r="H29" s="108"/>
      <c r="I29" s="108"/>
      <c r="J29" s="109"/>
    </row>
    <row r="30" spans="2:10" x14ac:dyDescent="0.25">
      <c r="B30" s="106"/>
      <c r="C30" s="108"/>
      <c r="D30" s="108"/>
      <c r="E30" s="108"/>
      <c r="F30" s="108"/>
      <c r="G30" s="108"/>
      <c r="H30" s="108"/>
      <c r="I30" s="108"/>
      <c r="J30" s="109"/>
    </row>
    <row r="31" spans="2:10" x14ac:dyDescent="0.25">
      <c r="B31" s="106"/>
      <c r="C31" s="108"/>
      <c r="D31" s="108"/>
      <c r="E31" s="108"/>
      <c r="F31" s="108"/>
      <c r="G31" s="108"/>
      <c r="H31" s="108"/>
      <c r="I31" s="108"/>
      <c r="J31" s="109"/>
    </row>
    <row r="32" spans="2:10" x14ac:dyDescent="0.25">
      <c r="B32" s="106"/>
      <c r="C32" s="108"/>
      <c r="D32" s="108"/>
      <c r="E32" s="108"/>
      <c r="F32" s="108"/>
      <c r="G32" s="108"/>
      <c r="H32" s="108"/>
      <c r="I32" s="108"/>
      <c r="J32" s="109"/>
    </row>
    <row r="33" spans="2:10" x14ac:dyDescent="0.25">
      <c r="B33" s="106"/>
      <c r="C33" s="108"/>
      <c r="D33" s="108"/>
      <c r="E33" s="108"/>
      <c r="F33" s="108"/>
      <c r="G33" s="108"/>
      <c r="H33" s="108"/>
      <c r="I33" s="108"/>
      <c r="J33" s="109"/>
    </row>
    <row r="34" spans="2:10" x14ac:dyDescent="0.25">
      <c r="B34" s="106"/>
      <c r="C34" s="108"/>
      <c r="D34" s="108"/>
      <c r="E34" s="108"/>
      <c r="F34" s="108"/>
      <c r="G34" s="108"/>
      <c r="H34" s="108"/>
      <c r="I34" s="108"/>
      <c r="J34" s="109"/>
    </row>
    <row r="35" spans="2:10" x14ac:dyDescent="0.25">
      <c r="B35" s="106"/>
      <c r="C35" s="108"/>
      <c r="D35" s="108"/>
      <c r="E35" s="108"/>
      <c r="F35" s="108"/>
      <c r="G35" s="108"/>
      <c r="H35" s="108"/>
      <c r="I35" s="108"/>
      <c r="J35" s="109"/>
    </row>
    <row r="36" spans="2:10" x14ac:dyDescent="0.25">
      <c r="B36" s="106"/>
      <c r="C36" s="108"/>
      <c r="D36" s="108"/>
      <c r="E36" s="108"/>
      <c r="F36" s="108"/>
      <c r="G36" s="108"/>
      <c r="H36" s="108"/>
      <c r="I36" s="108"/>
      <c r="J36" s="109"/>
    </row>
    <row r="37" spans="2:10" x14ac:dyDescent="0.25">
      <c r="B37" s="106"/>
      <c r="C37" s="108"/>
      <c r="D37" s="108"/>
      <c r="E37" s="108"/>
      <c r="F37" s="108"/>
      <c r="G37" s="108"/>
      <c r="H37" s="108"/>
      <c r="I37" s="108"/>
      <c r="J37" s="109"/>
    </row>
    <row r="38" spans="2:10" x14ac:dyDescent="0.25">
      <c r="B38" s="106"/>
      <c r="C38" s="108"/>
      <c r="D38" s="108"/>
      <c r="E38" s="108"/>
      <c r="F38" s="108"/>
      <c r="G38" s="108"/>
      <c r="H38" s="108"/>
      <c r="I38" s="108"/>
      <c r="J38" s="109"/>
    </row>
    <row r="39" spans="2:10" x14ac:dyDescent="0.25">
      <c r="B39" s="106"/>
      <c r="C39" s="108"/>
      <c r="D39" s="108"/>
      <c r="E39" s="108"/>
      <c r="F39" s="108"/>
      <c r="G39" s="108"/>
      <c r="H39" s="108"/>
      <c r="I39" s="108"/>
      <c r="J39" s="109"/>
    </row>
    <row r="40" spans="2:10" ht="6.75" customHeight="1" x14ac:dyDescent="0.25">
      <c r="B40" s="107"/>
      <c r="C40" s="111"/>
      <c r="D40" s="111"/>
      <c r="E40" s="111"/>
      <c r="F40" s="111"/>
      <c r="G40" s="111"/>
      <c r="H40" s="111"/>
      <c r="I40" s="111"/>
      <c r="J40" s="110"/>
    </row>
  </sheetData>
  <mergeCells count="12">
    <mergeCell ref="B2:J2"/>
    <mergeCell ref="C4:I21"/>
    <mergeCell ref="B3:J3"/>
    <mergeCell ref="B4:B22"/>
    <mergeCell ref="J4:J22"/>
    <mergeCell ref="C22:I22"/>
    <mergeCell ref="B24:J24"/>
    <mergeCell ref="B25:J25"/>
    <mergeCell ref="B26:B40"/>
    <mergeCell ref="C26:I39"/>
    <mergeCell ref="J26:J40"/>
    <mergeCell ref="C40:I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3"/>
  <sheetViews>
    <sheetView view="pageBreakPreview" topLeftCell="H1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3" width="11.28515625" customWidth="1"/>
    <col min="4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1"/>
      <c r="B2" s="322"/>
      <c r="C2" s="323"/>
      <c r="D2" s="324"/>
      <c r="E2" s="325" t="s">
        <v>114</v>
      </c>
      <c r="F2" s="326"/>
      <c r="G2" s="326"/>
      <c r="H2" s="326"/>
      <c r="I2" s="326"/>
      <c r="J2" s="326"/>
      <c r="K2" s="326"/>
      <c r="L2" s="326"/>
      <c r="M2" s="326"/>
      <c r="N2" s="326"/>
      <c r="O2" s="327"/>
      <c r="P2" s="328"/>
    </row>
    <row r="3" spans="1:26" s="2" customFormat="1" ht="27" customHeight="1" thickBot="1" x14ac:dyDescent="0.3">
      <c r="A3" s="321"/>
      <c r="B3" s="329"/>
      <c r="C3" s="330"/>
      <c r="D3" s="331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4"/>
      <c r="P3" s="335"/>
    </row>
    <row r="4" spans="1:26" s="19" customFormat="1" ht="11.25" customHeight="1" thickBot="1" x14ac:dyDescent="0.3">
      <c r="A4" s="18"/>
      <c r="B4" s="30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304">
        <v>43351</v>
      </c>
      <c r="D5" s="305"/>
      <c r="E5" s="22" t="s">
        <v>53</v>
      </c>
      <c r="F5" s="23">
        <v>1</v>
      </c>
      <c r="G5" s="24" t="s">
        <v>1</v>
      </c>
      <c r="H5" s="306" t="s">
        <v>115</v>
      </c>
      <c r="I5" s="307"/>
      <c r="J5" s="307"/>
      <c r="K5" s="307"/>
      <c r="L5" s="307"/>
      <c r="M5" s="307"/>
      <c r="N5" s="307"/>
      <c r="O5" s="307"/>
      <c r="P5" s="308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8" t="s">
        <v>2</v>
      </c>
      <c r="C6" s="289"/>
      <c r="D6" s="290" t="s">
        <v>106</v>
      </c>
      <c r="E6" s="291"/>
      <c r="F6" s="291"/>
      <c r="G6" s="291"/>
      <c r="H6" s="291"/>
      <c r="I6" s="292"/>
      <c r="J6" s="28" t="s">
        <v>3</v>
      </c>
      <c r="K6" s="290" t="s">
        <v>107</v>
      </c>
      <c r="L6" s="292"/>
      <c r="M6" s="290" t="s">
        <v>108</v>
      </c>
      <c r="N6" s="293"/>
      <c r="O6" s="29" t="s">
        <v>54</v>
      </c>
      <c r="P6" s="30">
        <v>1986</v>
      </c>
    </row>
    <row r="7" spans="1:26" s="26" customFormat="1" ht="21.75" customHeight="1" x14ac:dyDescent="0.25">
      <c r="B7" s="294" t="s">
        <v>55</v>
      </c>
      <c r="C7" s="295" t="s">
        <v>56</v>
      </c>
      <c r="D7" s="266"/>
      <c r="E7" s="32"/>
      <c r="F7" s="296" t="s">
        <v>57</v>
      </c>
      <c r="G7" s="297"/>
      <c r="H7" s="297"/>
      <c r="I7" s="297"/>
      <c r="J7" s="298" t="s">
        <v>58</v>
      </c>
      <c r="K7" s="299"/>
      <c r="L7" s="299"/>
      <c r="M7" s="300"/>
      <c r="N7" s="301" t="s">
        <v>59</v>
      </c>
      <c r="O7" s="302"/>
      <c r="P7" s="33" t="s">
        <v>60</v>
      </c>
    </row>
    <row r="8" spans="1:26" s="26" customFormat="1" ht="21.75" customHeight="1" thickBot="1" x14ac:dyDescent="0.3">
      <c r="B8" s="240"/>
      <c r="C8" s="257" t="s">
        <v>61</v>
      </c>
      <c r="D8" s="256"/>
      <c r="E8" s="91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34"/>
    </row>
    <row r="9" spans="1:26" s="26" customFormat="1" ht="21.75" customHeight="1" x14ac:dyDescent="0.25">
      <c r="B9" s="274" t="s">
        <v>6</v>
      </c>
      <c r="C9" s="277" t="s">
        <v>62</v>
      </c>
      <c r="D9" s="278" t="s">
        <v>63</v>
      </c>
      <c r="E9" s="263"/>
      <c r="F9" s="35"/>
      <c r="G9" s="279" t="s">
        <v>7</v>
      </c>
      <c r="H9" s="280" t="s">
        <v>8</v>
      </c>
      <c r="I9" s="266"/>
      <c r="J9" s="36"/>
      <c r="K9" s="277" t="s">
        <v>64</v>
      </c>
      <c r="L9" s="281" t="s">
        <v>109</v>
      </c>
      <c r="M9" s="282"/>
      <c r="N9" s="283"/>
      <c r="O9" s="283"/>
      <c r="P9" s="284"/>
    </row>
    <row r="10" spans="1:26" s="26" customFormat="1" ht="21.75" customHeight="1" thickBot="1" x14ac:dyDescent="0.3">
      <c r="B10" s="275"/>
      <c r="C10" s="220"/>
      <c r="D10" s="261" t="s">
        <v>65</v>
      </c>
      <c r="E10" s="256"/>
      <c r="F10" s="92" t="s">
        <v>4</v>
      </c>
      <c r="G10" s="220"/>
      <c r="H10" s="261" t="s">
        <v>9</v>
      </c>
      <c r="I10" s="256"/>
      <c r="J10" s="93" t="s">
        <v>4</v>
      </c>
      <c r="K10" s="220"/>
      <c r="L10" s="285"/>
      <c r="M10" s="286"/>
      <c r="N10" s="286"/>
      <c r="O10" s="286"/>
      <c r="P10" s="287"/>
    </row>
    <row r="11" spans="1:26" s="26" customFormat="1" ht="21.75" customHeight="1" x14ac:dyDescent="0.25">
      <c r="A11" s="20"/>
      <c r="B11" s="275"/>
      <c r="C11" s="262" t="s">
        <v>10</v>
      </c>
      <c r="D11" s="263"/>
      <c r="E11" s="94">
        <v>0.35555555555555557</v>
      </c>
      <c r="F11" s="264" t="s">
        <v>11</v>
      </c>
      <c r="G11" s="263"/>
      <c r="H11" s="37">
        <v>1.57</v>
      </c>
      <c r="I11" s="265" t="s">
        <v>12</v>
      </c>
      <c r="J11" s="266"/>
      <c r="K11" s="37">
        <v>17</v>
      </c>
      <c r="L11" s="262" t="s">
        <v>13</v>
      </c>
      <c r="M11" s="263"/>
      <c r="N11" s="95">
        <v>1.97</v>
      </c>
      <c r="O11" s="253" t="s">
        <v>66</v>
      </c>
      <c r="P11" s="254"/>
    </row>
    <row r="12" spans="1:26" s="26" customFormat="1" ht="21.75" customHeight="1" thickBot="1" x14ac:dyDescent="0.3">
      <c r="A12" s="20"/>
      <c r="B12" s="276"/>
      <c r="C12" s="255" t="s">
        <v>14</v>
      </c>
      <c r="D12" s="256"/>
      <c r="E12" s="94">
        <v>0.37013888888888885</v>
      </c>
      <c r="F12" s="257" t="s">
        <v>15</v>
      </c>
      <c r="G12" s="256"/>
      <c r="H12" s="37">
        <v>1.57</v>
      </c>
      <c r="I12" s="258" t="s">
        <v>16</v>
      </c>
      <c r="J12" s="256"/>
      <c r="K12" s="94">
        <v>0.35416666666666669</v>
      </c>
      <c r="L12" s="255" t="s">
        <v>17</v>
      </c>
      <c r="M12" s="256"/>
      <c r="N12" s="96">
        <v>0.2</v>
      </c>
      <c r="O12" s="259">
        <v>0</v>
      </c>
      <c r="P12" s="260"/>
    </row>
    <row r="13" spans="1:26" s="26" customFormat="1" ht="21.75" customHeight="1" x14ac:dyDescent="0.25">
      <c r="A13" s="20"/>
      <c r="B13" s="238" t="s">
        <v>18</v>
      </c>
      <c r="C13" s="241" t="s">
        <v>67</v>
      </c>
      <c r="D13" s="242"/>
      <c r="E13" s="242"/>
      <c r="F13" s="243" t="s">
        <v>68</v>
      </c>
      <c r="G13" s="242"/>
      <c r="H13" s="242"/>
      <c r="I13" s="242"/>
      <c r="J13" s="243" t="s">
        <v>69</v>
      </c>
      <c r="K13" s="242"/>
      <c r="L13" s="242"/>
      <c r="M13" s="242"/>
      <c r="N13" s="244" t="s">
        <v>70</v>
      </c>
      <c r="O13" s="242"/>
      <c r="P13" s="245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9"/>
      <c r="C14" s="246" t="s">
        <v>71</v>
      </c>
      <c r="D14" s="247"/>
      <c r="E14" s="247"/>
      <c r="F14" s="248" t="s">
        <v>72</v>
      </c>
      <c r="G14" s="247"/>
      <c r="H14" s="247"/>
      <c r="I14" s="247"/>
      <c r="J14" s="249" t="s">
        <v>73</v>
      </c>
      <c r="K14" s="247"/>
      <c r="L14" s="247"/>
      <c r="M14" s="247"/>
      <c r="N14" s="250"/>
      <c r="O14" s="235"/>
      <c r="P14" s="25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40"/>
      <c r="C15" s="252" t="s">
        <v>74</v>
      </c>
      <c r="D15" s="222"/>
      <c r="E15" s="222"/>
      <c r="F15" s="222" t="s">
        <v>75</v>
      </c>
      <c r="G15" s="223"/>
      <c r="H15" s="223"/>
      <c r="I15" s="223"/>
      <c r="J15" s="222" t="s">
        <v>76</v>
      </c>
      <c r="K15" s="223"/>
      <c r="L15" s="223"/>
      <c r="M15" s="223"/>
      <c r="N15" s="224"/>
      <c r="O15" s="225"/>
      <c r="P15" s="22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7" t="s">
        <v>19</v>
      </c>
      <c r="C16" s="229" t="s">
        <v>20</v>
      </c>
      <c r="D16" s="229" t="s">
        <v>41</v>
      </c>
      <c r="E16" s="231" t="s">
        <v>21</v>
      </c>
      <c r="F16" s="232" t="s">
        <v>42</v>
      </c>
      <c r="G16" s="233"/>
      <c r="H16" s="229" t="s">
        <v>77</v>
      </c>
      <c r="I16" s="236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8"/>
      <c r="C17" s="230"/>
      <c r="D17" s="230"/>
      <c r="E17" s="230"/>
      <c r="F17" s="234"/>
      <c r="G17" s="235"/>
      <c r="H17" s="230"/>
      <c r="I17" s="237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f>+O12</f>
        <v>0</v>
      </c>
      <c r="D18" s="97">
        <v>4.2999999999999997E-2</v>
      </c>
      <c r="E18" s="50"/>
      <c r="F18" s="51"/>
      <c r="G18" s="56"/>
      <c r="H18" s="52"/>
      <c r="I18" s="53"/>
      <c r="J18" s="57"/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8">
        <v>1</v>
      </c>
      <c r="C19" s="221">
        <f>+C18+$N$12</f>
        <v>0.2</v>
      </c>
      <c r="D19" s="198">
        <v>7.0000000000000007E-2</v>
      </c>
      <c r="E19" s="198">
        <v>0.06</v>
      </c>
      <c r="F19" s="58" t="s">
        <v>79</v>
      </c>
      <c r="G19" s="59">
        <v>0</v>
      </c>
      <c r="H19" s="60"/>
      <c r="I19" s="61"/>
      <c r="J19" s="62"/>
      <c r="K19" s="198">
        <f>+IF(E19&lt;=0.12,(J21),(IF(E19&lt;0.16,((J20+2*J21+J22)/4),IF(E19&gt;=0.16,((J19+3*J20+2*J21+3*J22+J23)/10)))))</f>
        <v>0.151</v>
      </c>
      <c r="L19" s="198">
        <f>ROUND(+(D18+D19)/2*(C19-C18),3)</f>
        <v>1.0999999999999999E-2</v>
      </c>
      <c r="M19" s="198">
        <f>ROUND(+K19*L19,4)</f>
        <v>1.6999999999999999E-3</v>
      </c>
      <c r="N19" s="201">
        <f>ROUND(+M19/$M$88*100,2)</f>
        <v>5.1100000000000003</v>
      </c>
      <c r="O19" s="202"/>
      <c r="P19" s="203"/>
      <c r="Q19" s="47"/>
      <c r="R19" s="98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9"/>
      <c r="C20" s="199"/>
      <c r="D20" s="199"/>
      <c r="E20" s="199"/>
      <c r="F20" s="63" t="s">
        <v>80</v>
      </c>
      <c r="G20" s="64" t="str">
        <f>IF(E19&lt;0.125,"NA",IF(0.125&lt;=E19,(0.2*E19)))</f>
        <v>NA</v>
      </c>
      <c r="H20" s="65"/>
      <c r="I20" s="66"/>
      <c r="J20" s="67"/>
      <c r="K20" s="199"/>
      <c r="L20" s="199"/>
      <c r="M20" s="199"/>
      <c r="N20" s="199"/>
      <c r="O20" s="199"/>
      <c r="P20" s="204"/>
      <c r="Q20" s="47"/>
      <c r="R20" s="47"/>
      <c r="S20" s="98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9"/>
      <c r="C21" s="199"/>
      <c r="D21" s="199"/>
      <c r="E21" s="199"/>
      <c r="F21" s="63" t="s">
        <v>81</v>
      </c>
      <c r="G21" s="64">
        <f>+E19*0.4</f>
        <v>2.4E-2</v>
      </c>
      <c r="H21" s="65"/>
      <c r="I21" s="66"/>
      <c r="J21" s="67">
        <v>0.151</v>
      </c>
      <c r="K21" s="199"/>
      <c r="L21" s="199"/>
      <c r="M21" s="199"/>
      <c r="N21" s="199"/>
      <c r="O21" s="199"/>
      <c r="P21" s="204"/>
      <c r="Q21" s="47"/>
      <c r="R21" s="98"/>
      <c r="S21" s="98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9"/>
      <c r="C22" s="199"/>
      <c r="D22" s="199"/>
      <c r="E22" s="199"/>
      <c r="F22" s="63" t="s">
        <v>82</v>
      </c>
      <c r="G22" s="64" t="str">
        <f>IF(E19&lt;0.125,"NA",IF(0.125&lt;=E19,(0.8*E19)))</f>
        <v>NA</v>
      </c>
      <c r="H22" s="65"/>
      <c r="I22" s="66"/>
      <c r="J22" s="67"/>
      <c r="K22" s="199"/>
      <c r="L22" s="199"/>
      <c r="M22" s="199"/>
      <c r="N22" s="199"/>
      <c r="O22" s="199"/>
      <c r="P22" s="204"/>
      <c r="Q22" s="47"/>
      <c r="R22" s="47"/>
      <c r="S22" s="98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20"/>
      <c r="C23" s="200"/>
      <c r="D23" s="200"/>
      <c r="E23" s="200"/>
      <c r="F23" s="68" t="s">
        <v>83</v>
      </c>
      <c r="G23" s="69">
        <f>+E19</f>
        <v>0.06</v>
      </c>
      <c r="H23" s="70"/>
      <c r="I23" s="71"/>
      <c r="J23" s="72"/>
      <c r="K23" s="200"/>
      <c r="L23" s="200"/>
      <c r="M23" s="200"/>
      <c r="N23" s="200"/>
      <c r="O23" s="200"/>
      <c r="P23" s="205"/>
      <c r="Q23" s="47"/>
      <c r="R23" s="98"/>
      <c r="S23" s="98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8">
        <v>2</v>
      </c>
      <c r="C24" s="221">
        <f>+C19+$N$12</f>
        <v>0.4</v>
      </c>
      <c r="D24" s="198">
        <v>0.08</v>
      </c>
      <c r="E24" s="198">
        <v>0.09</v>
      </c>
      <c r="F24" s="58" t="s">
        <v>79</v>
      </c>
      <c r="G24" s="59">
        <v>0</v>
      </c>
      <c r="H24" s="60"/>
      <c r="I24" s="61"/>
      <c r="J24" s="62"/>
      <c r="K24" s="198">
        <f>+IF(E24&lt;=0.12,(J26),(IF(E24&lt;0.16,((J25+2*J26+J27)/4),IF(E24&gt;=0.16,((J24+3*J25+2*J26+3*J27+J28)/10)))))</f>
        <v>0.215</v>
      </c>
      <c r="L24" s="198">
        <f>ROUND(+(D19+D24)/2*(C24-C19),3)</f>
        <v>1.4999999999999999E-2</v>
      </c>
      <c r="M24" s="198">
        <f>ROUND(+K24*L24,4)</f>
        <v>3.2000000000000002E-3</v>
      </c>
      <c r="N24" s="201">
        <f>ROUND(+M24/$M$88*100,2)</f>
        <v>9.61</v>
      </c>
      <c r="O24" s="202"/>
      <c r="P24" s="203"/>
      <c r="Q24" s="47"/>
      <c r="R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9"/>
      <c r="C25" s="199"/>
      <c r="D25" s="199"/>
      <c r="E25" s="199"/>
      <c r="F25" s="63" t="s">
        <v>80</v>
      </c>
      <c r="G25" s="64" t="str">
        <f t="shared" ref="G25" si="0">IF(E24&lt;0.125,"NA",IF(0.125&lt;=E24,(0.2*E24)))</f>
        <v>NA</v>
      </c>
      <c r="H25" s="65"/>
      <c r="I25" s="66"/>
      <c r="J25" s="67"/>
      <c r="K25" s="199"/>
      <c r="L25" s="199"/>
      <c r="M25" s="199"/>
      <c r="N25" s="199"/>
      <c r="O25" s="199"/>
      <c r="P25" s="204"/>
      <c r="Q25" s="47"/>
      <c r="R25" s="98"/>
      <c r="S25" s="98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9"/>
      <c r="C26" s="199"/>
      <c r="D26" s="199"/>
      <c r="E26" s="199"/>
      <c r="F26" s="63" t="s">
        <v>81</v>
      </c>
      <c r="G26" s="64">
        <f t="shared" ref="G26" si="1">+E24*0.4</f>
        <v>3.5999999999999997E-2</v>
      </c>
      <c r="H26" s="65"/>
      <c r="I26" s="66"/>
      <c r="J26" s="67">
        <v>0.215</v>
      </c>
      <c r="K26" s="199"/>
      <c r="L26" s="199"/>
      <c r="M26" s="199"/>
      <c r="N26" s="199"/>
      <c r="O26" s="199"/>
      <c r="P26" s="204"/>
      <c r="Q26" s="47"/>
      <c r="R26" s="47"/>
      <c r="S26" s="98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9"/>
      <c r="C27" s="199"/>
      <c r="D27" s="199"/>
      <c r="E27" s="199"/>
      <c r="F27" s="63" t="s">
        <v>82</v>
      </c>
      <c r="G27" s="64" t="str">
        <f t="shared" ref="G27" si="2">IF(E24&lt;0.125,"NA",IF(0.125&lt;=E24,(0.8*E24)))</f>
        <v>NA</v>
      </c>
      <c r="H27" s="65"/>
      <c r="I27" s="66"/>
      <c r="J27" s="67"/>
      <c r="K27" s="199"/>
      <c r="L27" s="199"/>
      <c r="M27" s="199"/>
      <c r="N27" s="199"/>
      <c r="O27" s="199"/>
      <c r="P27" s="204"/>
      <c r="Q27" s="47"/>
      <c r="R27" s="98"/>
      <c r="S27" s="98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20"/>
      <c r="C28" s="200"/>
      <c r="D28" s="200"/>
      <c r="E28" s="200"/>
      <c r="F28" s="68" t="s">
        <v>83</v>
      </c>
      <c r="G28" s="69">
        <f t="shared" ref="G28" si="3">+E24</f>
        <v>0.09</v>
      </c>
      <c r="H28" s="70"/>
      <c r="I28" s="71"/>
      <c r="J28" s="72"/>
      <c r="K28" s="200"/>
      <c r="L28" s="200"/>
      <c r="M28" s="200"/>
      <c r="N28" s="200"/>
      <c r="O28" s="200"/>
      <c r="P28" s="205"/>
      <c r="Q28" s="47"/>
      <c r="R28" s="47"/>
      <c r="S28" s="98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8">
        <v>3</v>
      </c>
      <c r="C29" s="221">
        <f>+C24+$N$12</f>
        <v>0.60000000000000009</v>
      </c>
      <c r="D29" s="198">
        <v>5.1999999999999998E-2</v>
      </c>
      <c r="E29" s="198">
        <v>5.8999999999999997E-2</v>
      </c>
      <c r="F29" s="58" t="s">
        <v>79</v>
      </c>
      <c r="G29" s="59">
        <v>0</v>
      </c>
      <c r="H29" s="60"/>
      <c r="I29" s="61"/>
      <c r="J29" s="62"/>
      <c r="K29" s="198">
        <f t="shared" ref="K29" si="4">+IF(E29&lt;=0.12,(J31),(IF(E29&lt;0.16,((J30+2*J31+J32)/4),IF(E29&gt;=0.16,((J29+3*J30+2*J31+3*J32+J33)/10)))))</f>
        <v>0.308</v>
      </c>
      <c r="L29" s="198">
        <f>ROUND(+(D24+D29)/2*(C29-C24),3)</f>
        <v>1.2999999999999999E-2</v>
      </c>
      <c r="M29" s="198">
        <f t="shared" ref="M29" si="5">ROUND(+K29*L29,4)</f>
        <v>4.0000000000000001E-3</v>
      </c>
      <c r="N29" s="201">
        <f t="shared" ref="N29" si="6">ROUND(+M29/$M$88*100,2)</f>
        <v>12.01</v>
      </c>
      <c r="O29" s="202"/>
      <c r="P29" s="203"/>
      <c r="Q29" s="47"/>
      <c r="R29" s="98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9"/>
      <c r="C30" s="199"/>
      <c r="D30" s="199"/>
      <c r="E30" s="199"/>
      <c r="F30" s="63" t="s">
        <v>80</v>
      </c>
      <c r="G30" s="64" t="str">
        <f t="shared" ref="G30" si="7">IF(E29&lt;0.125,"NA",IF(0.125&lt;=E29,(0.2*E29)))</f>
        <v>NA</v>
      </c>
      <c r="H30" s="65"/>
      <c r="I30" s="66"/>
      <c r="J30" s="67"/>
      <c r="K30" s="199"/>
      <c r="L30" s="199"/>
      <c r="M30" s="199"/>
      <c r="N30" s="199"/>
      <c r="O30" s="199"/>
      <c r="P30" s="204"/>
      <c r="Q30" s="47"/>
      <c r="R30" s="47"/>
      <c r="S30" s="98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9"/>
      <c r="C31" s="199"/>
      <c r="D31" s="199"/>
      <c r="E31" s="199"/>
      <c r="F31" s="63" t="s">
        <v>81</v>
      </c>
      <c r="G31" s="64">
        <f t="shared" ref="G31" si="8">+E29*0.4</f>
        <v>2.3599999999999999E-2</v>
      </c>
      <c r="H31" s="65"/>
      <c r="I31" s="66"/>
      <c r="J31" s="67">
        <v>0.308</v>
      </c>
      <c r="K31" s="199"/>
      <c r="L31" s="199"/>
      <c r="M31" s="199"/>
      <c r="N31" s="199"/>
      <c r="O31" s="199"/>
      <c r="P31" s="204"/>
      <c r="Q31" s="47"/>
      <c r="R31" s="98"/>
      <c r="S31" s="98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9"/>
      <c r="C32" s="199"/>
      <c r="D32" s="199"/>
      <c r="E32" s="199"/>
      <c r="F32" s="63" t="s">
        <v>82</v>
      </c>
      <c r="G32" s="64" t="str">
        <f t="shared" ref="G32" si="9">IF(E29&lt;0.125,"NA",IF(0.125&lt;=E29,(0.8*E29)))</f>
        <v>NA</v>
      </c>
      <c r="H32" s="65"/>
      <c r="I32" s="66"/>
      <c r="J32" s="67"/>
      <c r="K32" s="199"/>
      <c r="L32" s="199"/>
      <c r="M32" s="199"/>
      <c r="N32" s="199"/>
      <c r="O32" s="199"/>
      <c r="P32" s="204"/>
      <c r="Q32" s="47"/>
      <c r="R32" s="47"/>
      <c r="S32" s="98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20"/>
      <c r="C33" s="200"/>
      <c r="D33" s="200"/>
      <c r="E33" s="200"/>
      <c r="F33" s="68" t="s">
        <v>83</v>
      </c>
      <c r="G33" s="69">
        <f t="shared" ref="G33" si="10">+E29</f>
        <v>5.8999999999999997E-2</v>
      </c>
      <c r="H33" s="70"/>
      <c r="I33" s="71"/>
      <c r="J33" s="72"/>
      <c r="K33" s="200"/>
      <c r="L33" s="200"/>
      <c r="M33" s="200"/>
      <c r="N33" s="200"/>
      <c r="O33" s="200"/>
      <c r="P33" s="205"/>
      <c r="Q33" s="47"/>
      <c r="R33" s="98"/>
      <c r="S33" s="98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8">
        <v>4</v>
      </c>
      <c r="C34" s="221">
        <f>+C29+$N$12</f>
        <v>0.8</v>
      </c>
      <c r="D34" s="198">
        <v>5.2999999999999999E-2</v>
      </c>
      <c r="E34" s="198">
        <v>5.6000000000000001E-2</v>
      </c>
      <c r="F34" s="58" t="s">
        <v>79</v>
      </c>
      <c r="G34" s="59">
        <v>0</v>
      </c>
      <c r="H34" s="60"/>
      <c r="I34" s="61"/>
      <c r="J34" s="62"/>
      <c r="K34" s="198">
        <f t="shared" ref="K34" si="11">+IF(E34&lt;=0.12,(J36),(IF(E34&lt;0.16,((J35+2*J36+J37)/4),IF(E34&gt;=0.16,((J34+3*J35+2*J36+3*J37+J38)/10)))))</f>
        <v>0.32</v>
      </c>
      <c r="L34" s="198">
        <f>ROUND(+(D29+D34)/2*(C34-C29),3)</f>
        <v>1.0999999999999999E-2</v>
      </c>
      <c r="M34" s="198">
        <f t="shared" ref="M34" si="12">ROUND(+K34*L34,4)</f>
        <v>3.5000000000000001E-3</v>
      </c>
      <c r="N34" s="201">
        <f t="shared" ref="N34" si="13">ROUND(+M34/$M$88*100,2)</f>
        <v>10.51</v>
      </c>
      <c r="O34" s="202"/>
      <c r="P34" s="203"/>
      <c r="Q34" s="47"/>
      <c r="R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9"/>
      <c r="C35" s="199"/>
      <c r="D35" s="199"/>
      <c r="E35" s="199"/>
      <c r="F35" s="63" t="s">
        <v>80</v>
      </c>
      <c r="G35" s="64" t="str">
        <f t="shared" ref="G35" si="14">IF(E34&lt;0.125,"NA",IF(0.125&lt;=E34,(0.2*E34)))</f>
        <v>NA</v>
      </c>
      <c r="H35" s="65"/>
      <c r="I35" s="66"/>
      <c r="J35" s="67"/>
      <c r="K35" s="199"/>
      <c r="L35" s="199"/>
      <c r="M35" s="199"/>
      <c r="N35" s="199"/>
      <c r="O35" s="199"/>
      <c r="P35" s="204"/>
      <c r="Q35" s="47"/>
      <c r="R35" s="98"/>
      <c r="S35" s="98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9"/>
      <c r="C36" s="199"/>
      <c r="D36" s="199"/>
      <c r="E36" s="199"/>
      <c r="F36" s="63" t="s">
        <v>81</v>
      </c>
      <c r="G36" s="64">
        <f t="shared" ref="G36" si="15">+E34*0.4</f>
        <v>2.2400000000000003E-2</v>
      </c>
      <c r="H36" s="65"/>
      <c r="I36" s="66"/>
      <c r="J36" s="67">
        <v>0.32</v>
      </c>
      <c r="K36" s="199"/>
      <c r="L36" s="199"/>
      <c r="M36" s="199"/>
      <c r="N36" s="199"/>
      <c r="O36" s="199"/>
      <c r="P36" s="204"/>
      <c r="Q36" s="47"/>
      <c r="R36" s="47"/>
      <c r="S36" s="98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9"/>
      <c r="C37" s="199"/>
      <c r="D37" s="199"/>
      <c r="E37" s="199"/>
      <c r="F37" s="63" t="s">
        <v>82</v>
      </c>
      <c r="G37" s="64" t="str">
        <f t="shared" ref="G37" si="16">IF(E34&lt;0.125,"NA",IF(0.125&lt;=E34,(0.8*E34)))</f>
        <v>NA</v>
      </c>
      <c r="H37" s="65"/>
      <c r="I37" s="66"/>
      <c r="J37" s="67"/>
      <c r="K37" s="199"/>
      <c r="L37" s="199"/>
      <c r="M37" s="199"/>
      <c r="N37" s="199"/>
      <c r="O37" s="199"/>
      <c r="P37" s="204"/>
      <c r="Q37" s="47"/>
      <c r="R37" s="98"/>
      <c r="S37" s="98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20"/>
      <c r="C38" s="200"/>
      <c r="D38" s="200"/>
      <c r="E38" s="200"/>
      <c r="F38" s="68" t="s">
        <v>83</v>
      </c>
      <c r="G38" s="69">
        <f t="shared" ref="G38" si="17">+E34</f>
        <v>5.6000000000000001E-2</v>
      </c>
      <c r="H38" s="70"/>
      <c r="I38" s="71"/>
      <c r="J38" s="72"/>
      <c r="K38" s="200"/>
      <c r="L38" s="200"/>
      <c r="M38" s="200"/>
      <c r="N38" s="200"/>
      <c r="O38" s="200"/>
      <c r="P38" s="205"/>
      <c r="Q38" s="47"/>
      <c r="R38" s="47"/>
      <c r="S38" s="98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8">
        <v>5</v>
      </c>
      <c r="C39" s="221">
        <f t="shared" ref="C39" si="18">+C34+$N$12</f>
        <v>1</v>
      </c>
      <c r="D39" s="198">
        <v>5.6000000000000001E-2</v>
      </c>
      <c r="E39" s="198">
        <v>5.1999999999999998E-2</v>
      </c>
      <c r="F39" s="58" t="s">
        <v>79</v>
      </c>
      <c r="G39" s="59">
        <v>0</v>
      </c>
      <c r="H39" s="60"/>
      <c r="I39" s="61"/>
      <c r="J39" s="62"/>
      <c r="K39" s="198">
        <f t="shared" ref="K39" si="19">+IF(E39&lt;=0.12,(J41),(IF(E39&lt;0.16,((J40+2*J41+J42)/4),IF(E39&gt;=0.16,((J39+3*J40+2*J41+3*J42+J43)/10)))))</f>
        <v>0.378</v>
      </c>
      <c r="L39" s="198">
        <f>ROUND(+(D34+D39)/2*(C39-C34),3)</f>
        <v>1.0999999999999999E-2</v>
      </c>
      <c r="M39" s="198">
        <f t="shared" ref="M39" si="20">ROUND(+K39*L39,4)</f>
        <v>4.1999999999999997E-3</v>
      </c>
      <c r="N39" s="201">
        <f t="shared" ref="N39" si="21">ROUND(+M39/$M$88*100,2)</f>
        <v>12.61</v>
      </c>
      <c r="O39" s="202"/>
      <c r="P39" s="203"/>
      <c r="Q39" s="47"/>
      <c r="R39" s="98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9"/>
      <c r="C40" s="199"/>
      <c r="D40" s="199"/>
      <c r="E40" s="199"/>
      <c r="F40" s="63" t="s">
        <v>80</v>
      </c>
      <c r="G40" s="64" t="str">
        <f t="shared" ref="G40" si="22">IF(E39&lt;0.125,"NA",IF(0.125&lt;=E39,(0.2*E39)))</f>
        <v>NA</v>
      </c>
      <c r="H40" s="65"/>
      <c r="I40" s="66"/>
      <c r="J40" s="67"/>
      <c r="K40" s="199"/>
      <c r="L40" s="199"/>
      <c r="M40" s="199"/>
      <c r="N40" s="199"/>
      <c r="O40" s="199"/>
      <c r="P40" s="204"/>
      <c r="Q40" s="47"/>
      <c r="R40" s="47"/>
      <c r="S40" s="98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9"/>
      <c r="C41" s="199"/>
      <c r="D41" s="199"/>
      <c r="E41" s="199"/>
      <c r="F41" s="63" t="s">
        <v>81</v>
      </c>
      <c r="G41" s="64">
        <f t="shared" ref="G41" si="23">+E39*0.4</f>
        <v>2.0799999999999999E-2</v>
      </c>
      <c r="H41" s="65"/>
      <c r="I41" s="66"/>
      <c r="J41" s="67">
        <v>0.378</v>
      </c>
      <c r="K41" s="199"/>
      <c r="L41" s="199"/>
      <c r="M41" s="199"/>
      <c r="N41" s="199"/>
      <c r="O41" s="199"/>
      <c r="P41" s="204"/>
      <c r="Q41" s="47"/>
      <c r="R41" s="98"/>
      <c r="S41" s="98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9"/>
      <c r="C42" s="199"/>
      <c r="D42" s="199"/>
      <c r="E42" s="199"/>
      <c r="F42" s="63" t="s">
        <v>82</v>
      </c>
      <c r="G42" s="64" t="str">
        <f t="shared" ref="G42" si="24">IF(E39&lt;0.125,"NA",IF(0.125&lt;=E39,(0.8*E39)))</f>
        <v>NA</v>
      </c>
      <c r="H42" s="65"/>
      <c r="I42" s="66"/>
      <c r="J42" s="67"/>
      <c r="K42" s="199"/>
      <c r="L42" s="199"/>
      <c r="M42" s="199"/>
      <c r="N42" s="199"/>
      <c r="O42" s="199"/>
      <c r="P42" s="204"/>
      <c r="Q42" s="47"/>
      <c r="R42" s="47"/>
      <c r="S42" s="98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20"/>
      <c r="C43" s="200"/>
      <c r="D43" s="200"/>
      <c r="E43" s="200"/>
      <c r="F43" s="68" t="s">
        <v>83</v>
      </c>
      <c r="G43" s="69">
        <f t="shared" ref="G43" si="25">+E39</f>
        <v>5.1999999999999998E-2</v>
      </c>
      <c r="H43" s="70"/>
      <c r="I43" s="71"/>
      <c r="J43" s="72"/>
      <c r="K43" s="200"/>
      <c r="L43" s="200"/>
      <c r="M43" s="200"/>
      <c r="N43" s="200"/>
      <c r="O43" s="200"/>
      <c r="P43" s="205"/>
      <c r="Q43" s="47"/>
      <c r="R43" s="98"/>
      <c r="S43" s="98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8">
        <v>6</v>
      </c>
      <c r="C44" s="221">
        <f t="shared" ref="C44" si="26">+C39+$N$12</f>
        <v>1.2</v>
      </c>
      <c r="D44" s="198">
        <v>5.6000000000000001E-2</v>
      </c>
      <c r="E44" s="198">
        <v>5.3999999999999999E-2</v>
      </c>
      <c r="F44" s="58" t="s">
        <v>79</v>
      </c>
      <c r="G44" s="59">
        <v>0</v>
      </c>
      <c r="H44" s="60"/>
      <c r="I44" s="61"/>
      <c r="J44" s="62"/>
      <c r="K44" s="198">
        <f t="shared" ref="K44" si="27">+IF(E44&lt;=0.12,(J46),(IF(E44&lt;0.16,((J45+2*J46+J47)/4),IF(E44&gt;=0.16,((J44+3*J45+2*J46+3*J47+J48)/10)))))</f>
        <v>0.47799999999999998</v>
      </c>
      <c r="L44" s="198">
        <f>ROUND(+(D39+D44)/2*(C44-C39),3)</f>
        <v>1.0999999999999999E-2</v>
      </c>
      <c r="M44" s="198">
        <f t="shared" ref="M44" si="28">ROUND(+K44*L44,4)</f>
        <v>5.3E-3</v>
      </c>
      <c r="N44" s="201">
        <f t="shared" ref="N44" si="29">ROUND(+M44/$M$88*100,2)</f>
        <v>15.92</v>
      </c>
      <c r="O44" s="202"/>
      <c r="P44" s="203"/>
      <c r="Q44" s="47"/>
      <c r="R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9"/>
      <c r="C45" s="199"/>
      <c r="D45" s="199"/>
      <c r="E45" s="199"/>
      <c r="F45" s="63" t="s">
        <v>80</v>
      </c>
      <c r="G45" s="64" t="str">
        <f t="shared" ref="G45" si="30">IF(E44&lt;0.125,"NA",IF(0.125&lt;=E44,(0.2*E44)))</f>
        <v>NA</v>
      </c>
      <c r="H45" s="65"/>
      <c r="I45" s="66"/>
      <c r="J45" s="67"/>
      <c r="K45" s="199"/>
      <c r="L45" s="199"/>
      <c r="M45" s="199"/>
      <c r="N45" s="199"/>
      <c r="O45" s="199"/>
      <c r="P45" s="204"/>
      <c r="Q45" s="47"/>
      <c r="R45" s="98"/>
      <c r="S45" s="98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9"/>
      <c r="C46" s="199"/>
      <c r="D46" s="199"/>
      <c r="E46" s="199"/>
      <c r="F46" s="63" t="s">
        <v>81</v>
      </c>
      <c r="G46" s="64">
        <f t="shared" ref="G46" si="31">+E44*0.4</f>
        <v>2.1600000000000001E-2</v>
      </c>
      <c r="H46" s="65"/>
      <c r="I46" s="66"/>
      <c r="J46" s="67">
        <v>0.47799999999999998</v>
      </c>
      <c r="K46" s="199"/>
      <c r="L46" s="199"/>
      <c r="M46" s="199"/>
      <c r="N46" s="199"/>
      <c r="O46" s="199"/>
      <c r="P46" s="204"/>
      <c r="Q46" s="47"/>
      <c r="R46" s="47"/>
      <c r="S46" s="98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9"/>
      <c r="C47" s="199"/>
      <c r="D47" s="199"/>
      <c r="E47" s="199"/>
      <c r="F47" s="63" t="s">
        <v>82</v>
      </c>
      <c r="G47" s="64" t="str">
        <f t="shared" ref="G47" si="32">IF(E44&lt;0.125,"NA",IF(0.125&lt;=E44,(0.8*E44)))</f>
        <v>NA</v>
      </c>
      <c r="H47" s="65"/>
      <c r="I47" s="66"/>
      <c r="J47" s="67"/>
      <c r="K47" s="199"/>
      <c r="L47" s="199"/>
      <c r="M47" s="199"/>
      <c r="N47" s="199"/>
      <c r="O47" s="199"/>
      <c r="P47" s="204"/>
      <c r="Q47" s="47"/>
      <c r="R47" s="98"/>
      <c r="S47" s="98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20"/>
      <c r="C48" s="200"/>
      <c r="D48" s="200"/>
      <c r="E48" s="200"/>
      <c r="F48" s="68" t="s">
        <v>83</v>
      </c>
      <c r="G48" s="69">
        <f t="shared" ref="G48" si="33">+E44</f>
        <v>5.3999999999999999E-2</v>
      </c>
      <c r="H48" s="70"/>
      <c r="I48" s="71"/>
      <c r="J48" s="72"/>
      <c r="K48" s="200"/>
      <c r="L48" s="200"/>
      <c r="M48" s="200"/>
      <c r="N48" s="200"/>
      <c r="O48" s="200"/>
      <c r="P48" s="205"/>
      <c r="Q48" s="47"/>
      <c r="R48" s="47"/>
      <c r="S48" s="98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8">
        <v>7</v>
      </c>
      <c r="C49" s="221">
        <f t="shared" ref="C49" si="34">+C44+$N$12</f>
        <v>1.4</v>
      </c>
      <c r="D49" s="198">
        <v>5.7000000000000002E-2</v>
      </c>
      <c r="E49" s="198">
        <v>0.06</v>
      </c>
      <c r="F49" s="58" t="s">
        <v>79</v>
      </c>
      <c r="G49" s="59">
        <v>0</v>
      </c>
      <c r="H49" s="60"/>
      <c r="I49" s="61"/>
      <c r="J49" s="62"/>
      <c r="K49" s="198">
        <f>+IF(E49&lt;=0.12,(J51),(IF(E49&lt;0.16,((J50+2*J51+J52)/4),IF(E49&gt;=0.16,((J49+3*J50+2*J51+3*J52+J53)/10)))))</f>
        <v>0.5</v>
      </c>
      <c r="L49" s="198">
        <f>ROUND(+(D44+D49)/2*(C49-C44),3)</f>
        <v>1.0999999999999999E-2</v>
      </c>
      <c r="M49" s="198">
        <f t="shared" ref="M49" si="35">ROUND(+K49*L49,4)</f>
        <v>5.4999999999999997E-3</v>
      </c>
      <c r="N49" s="201">
        <f t="shared" ref="N49" si="36">ROUND(+M49/$M$88*100,2)</f>
        <v>16.52</v>
      </c>
      <c r="O49" s="202"/>
      <c r="P49" s="203"/>
      <c r="Q49" s="47"/>
      <c r="R49" s="98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9"/>
      <c r="C50" s="199"/>
      <c r="D50" s="199"/>
      <c r="E50" s="199"/>
      <c r="F50" s="63" t="s">
        <v>80</v>
      </c>
      <c r="G50" s="64" t="str">
        <f t="shared" ref="G50" si="37">IF(E49&lt;0.125,"NA",IF(0.125&lt;=E49,(0.2*E49)))</f>
        <v>NA</v>
      </c>
      <c r="H50" s="65"/>
      <c r="I50" s="66"/>
      <c r="J50" s="67"/>
      <c r="K50" s="199"/>
      <c r="L50" s="199"/>
      <c r="M50" s="199"/>
      <c r="N50" s="199"/>
      <c r="O50" s="199"/>
      <c r="P50" s="204"/>
      <c r="Q50" s="47"/>
      <c r="R50" s="47"/>
      <c r="S50" s="98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9"/>
      <c r="C51" s="199"/>
      <c r="D51" s="199"/>
      <c r="E51" s="199"/>
      <c r="F51" s="63" t="s">
        <v>81</v>
      </c>
      <c r="G51" s="64">
        <f t="shared" ref="G51" si="38">+E49*0.4</f>
        <v>2.4E-2</v>
      </c>
      <c r="H51" s="65"/>
      <c r="I51" s="66"/>
      <c r="J51" s="67">
        <v>0.5</v>
      </c>
      <c r="K51" s="199"/>
      <c r="L51" s="199"/>
      <c r="M51" s="199"/>
      <c r="N51" s="199"/>
      <c r="O51" s="199"/>
      <c r="P51" s="204"/>
      <c r="Q51" s="47"/>
      <c r="R51" s="47"/>
      <c r="S51" s="98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9"/>
      <c r="C52" s="199"/>
      <c r="D52" s="199"/>
      <c r="E52" s="199"/>
      <c r="F52" s="63" t="s">
        <v>82</v>
      </c>
      <c r="G52" s="64" t="str">
        <f t="shared" ref="G52" si="39">IF(E49&lt;0.125,"NA",IF(0.125&lt;=E49,(0.8*E49)))</f>
        <v>NA</v>
      </c>
      <c r="H52" s="65"/>
      <c r="I52" s="66"/>
      <c r="J52" s="67"/>
      <c r="K52" s="199"/>
      <c r="L52" s="199"/>
      <c r="M52" s="199"/>
      <c r="N52" s="199"/>
      <c r="O52" s="199"/>
      <c r="P52" s="204"/>
      <c r="Q52" s="47"/>
      <c r="R52" s="47"/>
      <c r="S52" s="98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20"/>
      <c r="C53" s="200"/>
      <c r="D53" s="200"/>
      <c r="E53" s="200"/>
      <c r="F53" s="68" t="s">
        <v>83</v>
      </c>
      <c r="G53" s="69">
        <f t="shared" ref="G53" si="40">+E49</f>
        <v>0.06</v>
      </c>
      <c r="H53" s="70"/>
      <c r="I53" s="71"/>
      <c r="J53" s="72"/>
      <c r="K53" s="200"/>
      <c r="L53" s="200"/>
      <c r="M53" s="200"/>
      <c r="N53" s="200"/>
      <c r="O53" s="200"/>
      <c r="P53" s="205"/>
      <c r="Q53" s="47"/>
      <c r="R53" s="47"/>
      <c r="S53" s="98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8">
        <v>8</v>
      </c>
      <c r="C54" s="221">
        <f t="shared" ref="C54" si="41">+C49+$N$12</f>
        <v>1.5999999999999999</v>
      </c>
      <c r="D54" s="198">
        <v>0.05</v>
      </c>
      <c r="E54" s="198">
        <v>5.6000000000000001E-2</v>
      </c>
      <c r="F54" s="58" t="s">
        <v>79</v>
      </c>
      <c r="G54" s="59">
        <v>0</v>
      </c>
      <c r="H54" s="60"/>
      <c r="I54" s="61"/>
      <c r="J54" s="62"/>
      <c r="K54" s="198">
        <f>+IF(E54&lt;=0.12,(J56),(IF(E54&lt;0.16,((J55+2*J56+J57)/4),IF(E54&gt;=0.16,((J54+3*J55+2*J56+3*J57+J58)/10)))))</f>
        <v>0.36899999999999999</v>
      </c>
      <c r="L54" s="198">
        <f>ROUND(+(D49+D54)/2*(C54-C49),3)</f>
        <v>1.0999999999999999E-2</v>
      </c>
      <c r="M54" s="198">
        <f t="shared" ref="M54" si="42">ROUND(+K54*L54,4)</f>
        <v>4.1000000000000003E-3</v>
      </c>
      <c r="N54" s="201">
        <f t="shared" ref="N54" si="43">ROUND(+M54/$M$88*100,2)</f>
        <v>12.31</v>
      </c>
      <c r="O54" s="202"/>
      <c r="P54" s="203"/>
      <c r="Q54" s="47"/>
      <c r="R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9"/>
      <c r="C55" s="199"/>
      <c r="D55" s="199"/>
      <c r="E55" s="199"/>
      <c r="F55" s="63" t="s">
        <v>80</v>
      </c>
      <c r="G55" s="64" t="str">
        <f t="shared" ref="G55" si="44">IF(E54&lt;0.125,"NA",IF(0.125&lt;=E54,(0.2*E54)))</f>
        <v>NA</v>
      </c>
      <c r="H55" s="65"/>
      <c r="I55" s="66"/>
      <c r="J55" s="67"/>
      <c r="K55" s="199"/>
      <c r="L55" s="199"/>
      <c r="M55" s="199"/>
      <c r="N55" s="199"/>
      <c r="O55" s="199"/>
      <c r="P55" s="204"/>
      <c r="Q55" s="47"/>
      <c r="R55" s="3"/>
      <c r="S55" s="98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9"/>
      <c r="C56" s="199"/>
      <c r="D56" s="199"/>
      <c r="E56" s="199"/>
      <c r="F56" s="63" t="s">
        <v>81</v>
      </c>
      <c r="G56" s="64">
        <f t="shared" ref="G56" si="45">+E54*0.4</f>
        <v>2.2400000000000003E-2</v>
      </c>
      <c r="H56" s="65"/>
      <c r="I56" s="66"/>
      <c r="J56" s="67">
        <v>0.36899999999999999</v>
      </c>
      <c r="K56" s="199"/>
      <c r="L56" s="199"/>
      <c r="M56" s="199"/>
      <c r="N56" s="199"/>
      <c r="O56" s="199"/>
      <c r="P56" s="204"/>
      <c r="Q56" s="47"/>
      <c r="R56" s="3"/>
      <c r="S56" s="98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9"/>
      <c r="C57" s="199"/>
      <c r="D57" s="199"/>
      <c r="E57" s="199"/>
      <c r="F57" s="63" t="s">
        <v>82</v>
      </c>
      <c r="G57" s="64" t="str">
        <f t="shared" ref="G57" si="46">IF(E54&lt;0.125,"NA",IF(0.125&lt;=E54,(0.8*E54)))</f>
        <v>NA</v>
      </c>
      <c r="H57" s="65"/>
      <c r="I57" s="66"/>
      <c r="J57" s="67"/>
      <c r="K57" s="199"/>
      <c r="L57" s="199"/>
      <c r="M57" s="199"/>
      <c r="N57" s="199"/>
      <c r="O57" s="199"/>
      <c r="P57" s="204"/>
      <c r="Q57" s="47"/>
      <c r="R57" s="3"/>
      <c r="S57" s="98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20"/>
      <c r="C58" s="200"/>
      <c r="D58" s="200"/>
      <c r="E58" s="200"/>
      <c r="F58" s="68" t="s">
        <v>83</v>
      </c>
      <c r="G58" s="69">
        <f t="shared" ref="G58" si="47">+E54</f>
        <v>5.6000000000000001E-2</v>
      </c>
      <c r="H58" s="70"/>
      <c r="I58" s="71"/>
      <c r="J58" s="72"/>
      <c r="K58" s="200"/>
      <c r="L58" s="200"/>
      <c r="M58" s="200"/>
      <c r="N58" s="200"/>
      <c r="O58" s="200"/>
      <c r="P58" s="205"/>
      <c r="Q58" s="47"/>
      <c r="R58" s="3"/>
      <c r="S58" s="98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8">
        <v>9</v>
      </c>
      <c r="C59" s="221">
        <f t="shared" ref="C59" si="48">+C54+$N$12</f>
        <v>1.7999999999999998</v>
      </c>
      <c r="D59" s="198">
        <v>0.04</v>
      </c>
      <c r="E59" s="198">
        <v>0.08</v>
      </c>
      <c r="F59" s="58" t="s">
        <v>79</v>
      </c>
      <c r="G59" s="59">
        <v>0</v>
      </c>
      <c r="H59" s="60"/>
      <c r="I59" s="61"/>
      <c r="J59" s="62"/>
      <c r="K59" s="198">
        <f t="shared" ref="K59" si="49">+IF(E59&lt;=0.12,(J61),(IF(E59&lt;0.16,((J60+2*J61+J62)/4),IF(E59&gt;=0.16,((J59+3*J60+2*J61+3*J62+J63)/10)))))</f>
        <v>0.17299999999999999</v>
      </c>
      <c r="L59" s="198">
        <f>ROUND(+(D54+D59)/2*(C59-C54),3)</f>
        <v>8.9999999999999993E-3</v>
      </c>
      <c r="M59" s="198">
        <f t="shared" ref="M59" si="50">ROUND(+K59*L59,4)</f>
        <v>1.6000000000000001E-3</v>
      </c>
      <c r="N59" s="201">
        <f t="shared" ref="N59" si="51">ROUND(+M59/$M$88*100,2)</f>
        <v>4.8</v>
      </c>
      <c r="O59" s="202"/>
      <c r="P59" s="203"/>
      <c r="Q59" s="47"/>
      <c r="R59" s="3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9"/>
      <c r="C60" s="199"/>
      <c r="D60" s="199"/>
      <c r="E60" s="199"/>
      <c r="F60" s="63" t="s">
        <v>80</v>
      </c>
      <c r="G60" s="64" t="str">
        <f t="shared" ref="G60" si="52">IF(E59&lt;0.125,"NA",IF(0.125&lt;=E59,(0.2*E59)))</f>
        <v>NA</v>
      </c>
      <c r="H60" s="65"/>
      <c r="I60" s="66"/>
      <c r="J60" s="67"/>
      <c r="K60" s="199"/>
      <c r="L60" s="199"/>
      <c r="M60" s="199"/>
      <c r="N60" s="199"/>
      <c r="O60" s="199"/>
      <c r="P60" s="204"/>
      <c r="Q60" s="47"/>
      <c r="R60" s="3"/>
      <c r="S60" s="98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9"/>
      <c r="C61" s="199"/>
      <c r="D61" s="199"/>
      <c r="E61" s="199"/>
      <c r="F61" s="63" t="s">
        <v>81</v>
      </c>
      <c r="G61" s="64">
        <f t="shared" ref="G61" si="53">+E59*0.4</f>
        <v>3.2000000000000001E-2</v>
      </c>
      <c r="H61" s="65"/>
      <c r="I61" s="66"/>
      <c r="J61" s="67">
        <v>0.17299999999999999</v>
      </c>
      <c r="K61" s="199"/>
      <c r="L61" s="199"/>
      <c r="M61" s="199"/>
      <c r="N61" s="199"/>
      <c r="O61" s="199"/>
      <c r="P61" s="204"/>
      <c r="Q61" s="47"/>
      <c r="R61" s="3"/>
      <c r="S61" s="98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9"/>
      <c r="C62" s="199"/>
      <c r="D62" s="199"/>
      <c r="E62" s="199"/>
      <c r="F62" s="63" t="s">
        <v>82</v>
      </c>
      <c r="G62" s="64" t="str">
        <f t="shared" ref="G62" si="54">IF(E59&lt;0.125,"NA",IF(0.125&lt;=E59,(0.8*E59)))</f>
        <v>NA</v>
      </c>
      <c r="H62" s="65"/>
      <c r="I62" s="66"/>
      <c r="J62" s="67"/>
      <c r="K62" s="199"/>
      <c r="L62" s="199"/>
      <c r="M62" s="199"/>
      <c r="N62" s="199"/>
      <c r="O62" s="199"/>
      <c r="P62" s="204"/>
      <c r="Q62" s="47"/>
      <c r="R62" s="3"/>
      <c r="S62" s="98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20"/>
      <c r="C63" s="200"/>
      <c r="D63" s="200"/>
      <c r="E63" s="200"/>
      <c r="F63" s="68" t="s">
        <v>83</v>
      </c>
      <c r="G63" s="69">
        <f t="shared" ref="G63" si="55">+E59</f>
        <v>0.08</v>
      </c>
      <c r="H63" s="70"/>
      <c r="I63" s="71"/>
      <c r="J63" s="72"/>
      <c r="K63" s="200"/>
      <c r="L63" s="200"/>
      <c r="M63" s="200"/>
      <c r="N63" s="200"/>
      <c r="O63" s="200"/>
      <c r="P63" s="205"/>
      <c r="Q63" s="47"/>
      <c r="R63" s="81"/>
      <c r="S63" s="98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8">
        <v>10</v>
      </c>
      <c r="C64" s="221">
        <v>1.97</v>
      </c>
      <c r="D64" s="198">
        <v>2.5000000000000001E-2</v>
      </c>
      <c r="E64" s="198">
        <v>0.05</v>
      </c>
      <c r="F64" s="58" t="s">
        <v>79</v>
      </c>
      <c r="G64" s="59">
        <v>0</v>
      </c>
      <c r="H64" s="60"/>
      <c r="I64" s="61"/>
      <c r="J64" s="62"/>
      <c r="K64" s="198">
        <f t="shared" ref="K64" si="56">+IF(E64&lt;=0.12,(J66),(IF(E64&lt;0.16,((J65+2*J66+J67)/4),IF(E64&gt;=0.16,((J64+3*J65+2*J66+3*J67+J68)/10)))))</f>
        <v>3.3000000000000002E-2</v>
      </c>
      <c r="L64" s="198">
        <f>ROUND(+(D59+D64)/2*(C64-C59),3)</f>
        <v>6.0000000000000001E-3</v>
      </c>
      <c r="M64" s="198">
        <f t="shared" ref="M64" si="57">ROUND(+K64*L64,4)</f>
        <v>2.0000000000000001E-4</v>
      </c>
      <c r="N64" s="201">
        <f t="shared" ref="N64" si="58">ROUND(+M64/$M$88*100,2)</f>
        <v>0.6</v>
      </c>
      <c r="O64" s="202"/>
      <c r="P64" s="203"/>
      <c r="Q64" s="47"/>
      <c r="R64" s="81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9"/>
      <c r="C65" s="199"/>
      <c r="D65" s="199"/>
      <c r="E65" s="199"/>
      <c r="F65" s="63" t="s">
        <v>80</v>
      </c>
      <c r="G65" s="64" t="str">
        <f t="shared" ref="G65" si="59">IF(E64&lt;0.125,"NA",IF(0.125&lt;=E64,(0.2*E64)))</f>
        <v>NA</v>
      </c>
      <c r="H65" s="65"/>
      <c r="I65" s="66"/>
      <c r="J65" s="67"/>
      <c r="K65" s="199"/>
      <c r="L65" s="199"/>
      <c r="M65" s="199"/>
      <c r="N65" s="199"/>
      <c r="O65" s="199"/>
      <c r="P65" s="204"/>
      <c r="Q65" s="47"/>
      <c r="R65" s="81"/>
      <c r="S65" s="98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9"/>
      <c r="C66" s="199"/>
      <c r="D66" s="199"/>
      <c r="E66" s="199"/>
      <c r="F66" s="63" t="s">
        <v>81</v>
      </c>
      <c r="G66" s="64">
        <f t="shared" ref="G66" si="60">+E64*0.4</f>
        <v>2.0000000000000004E-2</v>
      </c>
      <c r="H66" s="65"/>
      <c r="I66" s="66"/>
      <c r="J66" s="67">
        <v>3.3000000000000002E-2</v>
      </c>
      <c r="K66" s="199"/>
      <c r="L66" s="199"/>
      <c r="M66" s="199"/>
      <c r="N66" s="199"/>
      <c r="O66" s="199"/>
      <c r="P66" s="204"/>
      <c r="Q66" s="47"/>
      <c r="R66" s="81"/>
      <c r="S66" s="98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9"/>
      <c r="C67" s="199"/>
      <c r="D67" s="199"/>
      <c r="E67" s="199"/>
      <c r="F67" s="63" t="s">
        <v>82</v>
      </c>
      <c r="G67" s="64" t="str">
        <f t="shared" ref="G67" si="61">IF(E64&lt;0.125,"NA",IF(0.125&lt;=E64,(0.8*E64)))</f>
        <v>NA</v>
      </c>
      <c r="H67" s="65"/>
      <c r="I67" s="66"/>
      <c r="J67" s="67"/>
      <c r="K67" s="199"/>
      <c r="L67" s="199"/>
      <c r="M67" s="199"/>
      <c r="N67" s="199"/>
      <c r="O67" s="199"/>
      <c r="P67" s="204"/>
      <c r="Q67" s="47"/>
      <c r="R67" s="81"/>
      <c r="S67" s="98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20"/>
      <c r="C68" s="200"/>
      <c r="D68" s="200"/>
      <c r="E68" s="200"/>
      <c r="F68" s="68" t="s">
        <v>83</v>
      </c>
      <c r="G68" s="69">
        <f t="shared" ref="G68" si="62">+E64</f>
        <v>0.05</v>
      </c>
      <c r="H68" s="70"/>
      <c r="I68" s="71"/>
      <c r="J68" s="72"/>
      <c r="K68" s="200"/>
      <c r="L68" s="200"/>
      <c r="M68" s="200"/>
      <c r="N68" s="200"/>
      <c r="O68" s="200"/>
      <c r="P68" s="205"/>
      <c r="Q68" s="47"/>
      <c r="R68" s="81"/>
      <c r="S68" s="98"/>
      <c r="T68" s="47"/>
      <c r="U68" s="47"/>
      <c r="V68" s="47"/>
      <c r="W68" s="47"/>
      <c r="X68" s="47"/>
      <c r="Y68" s="47"/>
      <c r="Z68" s="47"/>
    </row>
    <row r="69" spans="1:26" s="3" customFormat="1" ht="14.1" customHeight="1" x14ac:dyDescent="0.25">
      <c r="B69" s="206" t="s">
        <v>28</v>
      </c>
      <c r="C69" s="209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1"/>
      <c r="R69"/>
    </row>
    <row r="70" spans="1:26" s="3" customFormat="1" ht="14.1" customHeight="1" x14ac:dyDescent="0.25">
      <c r="B70" s="207"/>
      <c r="C70" s="212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4"/>
      <c r="R70"/>
    </row>
    <row r="71" spans="1:26" s="3" customFormat="1" ht="14.1" customHeight="1" x14ac:dyDescent="0.25">
      <c r="B71" s="207"/>
      <c r="C71" s="212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4"/>
      <c r="R71"/>
    </row>
    <row r="72" spans="1:26" s="3" customFormat="1" ht="14.1" customHeight="1" x14ac:dyDescent="0.25">
      <c r="B72" s="207"/>
      <c r="C72" s="212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R72"/>
    </row>
    <row r="73" spans="1:26" s="3" customFormat="1" ht="14.1" customHeight="1" x14ac:dyDescent="0.25">
      <c r="B73" s="207"/>
      <c r="C73" s="212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4"/>
      <c r="R73"/>
    </row>
    <row r="74" spans="1:26" s="3" customFormat="1" ht="14.1" customHeight="1" thickBot="1" x14ac:dyDescent="0.3">
      <c r="B74" s="208"/>
      <c r="C74" s="215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7"/>
      <c r="R74"/>
    </row>
    <row r="75" spans="1:26" s="3" customFormat="1" ht="28.5" customHeight="1" thickBot="1" x14ac:dyDescent="0.3">
      <c r="A75" s="73"/>
      <c r="B75" s="74" t="s">
        <v>84</v>
      </c>
      <c r="C75" s="185" t="s">
        <v>85</v>
      </c>
      <c r="D75" s="185"/>
      <c r="E75" s="185"/>
      <c r="F75" s="185"/>
      <c r="G75" s="185"/>
      <c r="H75" s="186"/>
      <c r="I75" s="187"/>
      <c r="J75" s="74" t="s">
        <v>86</v>
      </c>
      <c r="K75" s="185" t="s">
        <v>87</v>
      </c>
      <c r="L75" s="185"/>
      <c r="M75" s="185"/>
      <c r="N75" s="185"/>
      <c r="O75" s="185"/>
      <c r="P75" s="186"/>
      <c r="R75"/>
    </row>
    <row r="76" spans="1:26" s="3" customFormat="1" ht="28.5" customHeight="1" thickBot="1" x14ac:dyDescent="0.3">
      <c r="B76" s="75" t="s">
        <v>88</v>
      </c>
      <c r="C76" s="189" t="s">
        <v>89</v>
      </c>
      <c r="D76" s="189"/>
      <c r="E76" s="189"/>
      <c r="F76" s="189"/>
      <c r="G76" s="189"/>
      <c r="H76" s="190"/>
      <c r="I76" s="188"/>
      <c r="J76" s="75" t="s">
        <v>90</v>
      </c>
      <c r="K76" s="189" t="s">
        <v>91</v>
      </c>
      <c r="L76" s="189"/>
      <c r="M76" s="189"/>
      <c r="N76" s="189"/>
      <c r="O76" s="189"/>
      <c r="P76" s="190"/>
      <c r="R76"/>
    </row>
    <row r="77" spans="1:26" s="19" customFormat="1" ht="13.5" customHeight="1" x14ac:dyDescent="0.25">
      <c r="A77" s="76"/>
      <c r="B77" s="191"/>
      <c r="C77" s="194"/>
      <c r="D77" s="196"/>
      <c r="E77" s="196"/>
      <c r="F77" s="77" t="s">
        <v>79</v>
      </c>
      <c r="G77" s="77"/>
      <c r="H77" s="78"/>
      <c r="I77" s="79"/>
      <c r="J77" s="80"/>
      <c r="K77" s="197"/>
      <c r="L77" s="176"/>
      <c r="M77" s="179"/>
      <c r="N77" s="176"/>
      <c r="O77" s="176"/>
      <c r="P77" s="180"/>
      <c r="Q77" s="81"/>
      <c r="R77"/>
      <c r="S77" s="81"/>
      <c r="T77" s="81"/>
      <c r="U77" s="81"/>
      <c r="V77" s="81"/>
      <c r="W77" s="81"/>
      <c r="X77" s="81"/>
      <c r="Y77" s="81"/>
      <c r="Z77" s="81"/>
    </row>
    <row r="78" spans="1:26" s="19" customFormat="1" ht="13.5" customHeight="1" x14ac:dyDescent="0.25">
      <c r="A78" s="76"/>
      <c r="B78" s="192"/>
      <c r="C78" s="177"/>
      <c r="D78" s="177"/>
      <c r="E78" s="177"/>
      <c r="F78" s="82" t="s">
        <v>92</v>
      </c>
      <c r="G78" s="83"/>
      <c r="H78" s="84"/>
      <c r="I78" s="85"/>
      <c r="J78" s="86"/>
      <c r="K78" s="177"/>
      <c r="L78" s="177"/>
      <c r="M78" s="177"/>
      <c r="N78" s="177"/>
      <c r="O78" s="177"/>
      <c r="P78" s="181"/>
      <c r="Q78" s="81"/>
      <c r="R78"/>
      <c r="S78" s="81"/>
      <c r="T78" s="81"/>
      <c r="U78" s="81"/>
      <c r="V78" s="81"/>
      <c r="W78" s="81"/>
      <c r="X78" s="81"/>
      <c r="Y78" s="81"/>
      <c r="Z78" s="81"/>
    </row>
    <row r="79" spans="1:26" s="19" customFormat="1" ht="13.5" customHeight="1" x14ac:dyDescent="0.25">
      <c r="A79" s="76"/>
      <c r="B79" s="192"/>
      <c r="C79" s="177"/>
      <c r="D79" s="177"/>
      <c r="E79" s="177"/>
      <c r="F79" s="82" t="s">
        <v>93</v>
      </c>
      <c r="G79" s="83"/>
      <c r="H79" s="84"/>
      <c r="I79" s="85"/>
      <c r="J79" s="86"/>
      <c r="K79" s="177"/>
      <c r="L79" s="177"/>
      <c r="M79" s="177"/>
      <c r="N79" s="177"/>
      <c r="O79" s="177"/>
      <c r="P79" s="181"/>
      <c r="Q79" s="81"/>
      <c r="R79"/>
      <c r="S79" s="81"/>
      <c r="T79" s="81"/>
      <c r="U79" s="81"/>
      <c r="V79" s="81"/>
      <c r="W79" s="81"/>
      <c r="X79" s="81"/>
      <c r="Y79" s="81"/>
      <c r="Z79" s="81"/>
    </row>
    <row r="80" spans="1:26" s="19" customFormat="1" ht="13.5" customHeight="1" x14ac:dyDescent="0.25">
      <c r="A80" s="76"/>
      <c r="B80" s="192"/>
      <c r="C80" s="177"/>
      <c r="D80" s="177"/>
      <c r="E80" s="177"/>
      <c r="F80" s="82" t="s">
        <v>94</v>
      </c>
      <c r="G80" s="83"/>
      <c r="H80" s="84"/>
      <c r="I80" s="85"/>
      <c r="J80" s="86"/>
      <c r="K80" s="177"/>
      <c r="L80" s="177"/>
      <c r="M80" s="177"/>
      <c r="N80" s="177"/>
      <c r="O80" s="177"/>
      <c r="P80" s="181"/>
      <c r="Q80" s="81"/>
      <c r="R80"/>
      <c r="S80" s="81"/>
      <c r="T80" s="81"/>
      <c r="U80" s="81"/>
      <c r="V80" s="81"/>
      <c r="W80" s="81"/>
      <c r="X80" s="81"/>
      <c r="Y80" s="81"/>
      <c r="Z80" s="81"/>
    </row>
    <row r="81" spans="1:26" s="19" customFormat="1" ht="13.5" customHeight="1" x14ac:dyDescent="0.25">
      <c r="A81" s="76"/>
      <c r="B81" s="192"/>
      <c r="C81" s="195"/>
      <c r="D81" s="195"/>
      <c r="E81" s="177"/>
      <c r="F81" s="82" t="s">
        <v>95</v>
      </c>
      <c r="G81" s="83"/>
      <c r="H81" s="84"/>
      <c r="I81" s="85"/>
      <c r="J81" s="86"/>
      <c r="K81" s="177"/>
      <c r="L81" s="177"/>
      <c r="M81" s="177"/>
      <c r="N81" s="177"/>
      <c r="O81" s="177"/>
      <c r="P81" s="181"/>
      <c r="Q81" s="81"/>
      <c r="R81"/>
      <c r="S81" s="81"/>
      <c r="T81" s="81"/>
      <c r="U81" s="81"/>
      <c r="V81" s="81"/>
      <c r="W81" s="81"/>
      <c r="X81" s="81"/>
      <c r="Y81" s="81"/>
      <c r="Z81" s="81"/>
    </row>
    <row r="82" spans="1:26" s="19" customFormat="1" ht="13.5" customHeight="1" x14ac:dyDescent="0.25">
      <c r="A82" s="76"/>
      <c r="B82" s="192"/>
      <c r="C82" s="183"/>
      <c r="D82" s="184"/>
      <c r="E82" s="177"/>
      <c r="F82" s="82" t="s">
        <v>29</v>
      </c>
      <c r="G82" s="83"/>
      <c r="H82" s="84"/>
      <c r="I82" s="85"/>
      <c r="J82" s="86"/>
      <c r="K82" s="177"/>
      <c r="L82" s="177"/>
      <c r="M82" s="177"/>
      <c r="N82" s="177"/>
      <c r="O82" s="177"/>
      <c r="P82" s="181"/>
      <c r="Q82" s="81"/>
      <c r="R82"/>
      <c r="S82" s="81"/>
      <c r="T82" s="81"/>
      <c r="U82" s="81"/>
      <c r="V82" s="81"/>
      <c r="W82" s="81"/>
      <c r="X82" s="81"/>
      <c r="Y82" s="81"/>
      <c r="Z82" s="81"/>
    </row>
    <row r="83" spans="1:26" s="19" customFormat="1" ht="13.5" customHeight="1" x14ac:dyDescent="0.25">
      <c r="A83" s="76"/>
      <c r="B83" s="192"/>
      <c r="C83" s="177"/>
      <c r="D83" s="177"/>
      <c r="E83" s="177"/>
      <c r="F83" s="82" t="s">
        <v>96</v>
      </c>
      <c r="G83" s="83"/>
      <c r="H83" s="84"/>
      <c r="I83" s="85"/>
      <c r="J83" s="86"/>
      <c r="K83" s="177"/>
      <c r="L83" s="177"/>
      <c r="M83" s="177"/>
      <c r="N83" s="177"/>
      <c r="O83" s="177"/>
      <c r="P83" s="181"/>
      <c r="Q83" s="81"/>
      <c r="R83"/>
      <c r="S83" s="81"/>
      <c r="T83" s="81"/>
      <c r="U83" s="81"/>
      <c r="V83" s="81"/>
      <c r="W83" s="81"/>
      <c r="X83" s="81"/>
      <c r="Y83" s="81"/>
      <c r="Z83" s="81"/>
    </row>
    <row r="84" spans="1:26" s="19" customFormat="1" ht="13.5" customHeight="1" x14ac:dyDescent="0.25">
      <c r="A84" s="76"/>
      <c r="B84" s="192"/>
      <c r="C84" s="177"/>
      <c r="D84" s="177"/>
      <c r="E84" s="177"/>
      <c r="F84" s="82" t="s">
        <v>97</v>
      </c>
      <c r="G84" s="83"/>
      <c r="H84" s="84"/>
      <c r="I84" s="85"/>
      <c r="J84" s="86"/>
      <c r="K84" s="177"/>
      <c r="L84" s="177"/>
      <c r="M84" s="177"/>
      <c r="N84" s="177"/>
      <c r="O84" s="177"/>
      <c r="P84" s="181"/>
      <c r="Q84" s="81"/>
      <c r="R84"/>
      <c r="S84" s="81"/>
      <c r="T84" s="81"/>
      <c r="U84" s="81"/>
      <c r="V84" s="81"/>
      <c r="W84" s="81"/>
      <c r="X84" s="81"/>
      <c r="Y84" s="81"/>
      <c r="Z84" s="81"/>
    </row>
    <row r="85" spans="1:26" s="19" customFormat="1" ht="13.5" customHeight="1" x14ac:dyDescent="0.25">
      <c r="A85" s="76"/>
      <c r="B85" s="192"/>
      <c r="C85" s="177"/>
      <c r="D85" s="177"/>
      <c r="E85" s="177"/>
      <c r="F85" s="82" t="s">
        <v>98</v>
      </c>
      <c r="G85" s="83"/>
      <c r="H85" s="84"/>
      <c r="I85" s="85"/>
      <c r="J85" s="86"/>
      <c r="K85" s="177"/>
      <c r="L85" s="177"/>
      <c r="M85" s="177"/>
      <c r="N85" s="177"/>
      <c r="O85" s="177"/>
      <c r="P85" s="181"/>
      <c r="Q85" s="81"/>
      <c r="R85"/>
      <c r="S85" s="81"/>
      <c r="T85" s="81"/>
      <c r="U85" s="81"/>
      <c r="V85" s="81"/>
      <c r="W85" s="81"/>
      <c r="X85" s="81"/>
      <c r="Y85" s="81"/>
      <c r="Z85" s="81"/>
    </row>
    <row r="86" spans="1:26" s="19" customFormat="1" ht="13.5" customHeight="1" x14ac:dyDescent="0.25">
      <c r="A86" s="76"/>
      <c r="B86" s="192"/>
      <c r="C86" s="177"/>
      <c r="D86" s="177"/>
      <c r="E86" s="177"/>
      <c r="F86" s="82" t="s">
        <v>99</v>
      </c>
      <c r="G86" s="83"/>
      <c r="H86" s="84"/>
      <c r="I86" s="85"/>
      <c r="J86" s="86"/>
      <c r="K86" s="177"/>
      <c r="L86" s="177"/>
      <c r="M86" s="177"/>
      <c r="N86" s="177"/>
      <c r="O86" s="177"/>
      <c r="P86" s="181"/>
      <c r="Q86" s="81"/>
      <c r="R86"/>
      <c r="S86" s="81"/>
      <c r="T86" s="81"/>
      <c r="U86" s="81"/>
      <c r="V86" s="81"/>
      <c r="W86" s="81"/>
      <c r="X86" s="81"/>
      <c r="Y86" s="81"/>
      <c r="Z86" s="81"/>
    </row>
    <row r="87" spans="1:26" s="19" customFormat="1" ht="15.75" thickBot="1" x14ac:dyDescent="0.3">
      <c r="A87" s="76"/>
      <c r="B87" s="193"/>
      <c r="C87" s="178"/>
      <c r="D87" s="178"/>
      <c r="E87" s="178"/>
      <c r="F87" s="87" t="s">
        <v>30</v>
      </c>
      <c r="G87" s="87"/>
      <c r="H87" s="88"/>
      <c r="I87" s="89"/>
      <c r="J87" s="90"/>
      <c r="K87" s="178"/>
      <c r="L87" s="178"/>
      <c r="M87" s="178"/>
      <c r="N87" s="178"/>
      <c r="O87" s="178"/>
      <c r="P87" s="182"/>
      <c r="Q87" s="81"/>
      <c r="R87"/>
      <c r="S87" s="81"/>
      <c r="T87" s="81"/>
      <c r="U87" s="81"/>
      <c r="V87" s="81"/>
      <c r="W87" s="81"/>
      <c r="X87" s="81"/>
      <c r="Y87" s="81"/>
      <c r="Z87" s="81"/>
    </row>
    <row r="88" spans="1:26" s="3" customFormat="1" x14ac:dyDescent="0.25">
      <c r="A88" s="11"/>
      <c r="B88" s="164" t="s">
        <v>31</v>
      </c>
      <c r="C88" s="164"/>
      <c r="D88" s="164"/>
      <c r="E88" s="164"/>
      <c r="F88" s="164"/>
      <c r="G88" s="164"/>
      <c r="H88" s="164"/>
      <c r="I88" s="164"/>
      <c r="J88" s="164"/>
      <c r="K88" s="16">
        <f>ROUND(+M88/L88,3)</f>
        <v>0.30599999999999999</v>
      </c>
      <c r="L88" s="15">
        <f>SUM(L18:L87)</f>
        <v>0.10899999999999999</v>
      </c>
      <c r="M88" s="14">
        <f>SUM(M19:M87)</f>
        <v>3.3299999999999996E-2</v>
      </c>
      <c r="N88" s="12">
        <f>ROUND(SUM(N19:N87),0)</f>
        <v>100</v>
      </c>
      <c r="O88" s="166" t="s">
        <v>32</v>
      </c>
      <c r="P88" s="168"/>
      <c r="R88"/>
    </row>
    <row r="89" spans="1:26" s="3" customFormat="1" ht="15" customHeight="1" thickBot="1" x14ac:dyDescent="0.3">
      <c r="A89" s="11"/>
      <c r="B89" s="165"/>
      <c r="C89" s="165"/>
      <c r="D89" s="165"/>
      <c r="E89" s="165"/>
      <c r="F89" s="165"/>
      <c r="G89" s="165"/>
      <c r="H89" s="165"/>
      <c r="I89" s="165"/>
      <c r="J89" s="165"/>
      <c r="K89" s="13" t="s">
        <v>33</v>
      </c>
      <c r="L89" s="13" t="s">
        <v>49</v>
      </c>
      <c r="M89" s="13" t="s">
        <v>110</v>
      </c>
      <c r="N89" s="13" t="s">
        <v>34</v>
      </c>
      <c r="O89" s="167"/>
      <c r="P89" s="169"/>
      <c r="R89"/>
    </row>
    <row r="90" spans="1:26" ht="15" customHeight="1" thickBot="1" x14ac:dyDescent="0.3">
      <c r="A90" s="5"/>
      <c r="B90" s="170" t="s">
        <v>100</v>
      </c>
      <c r="C90" s="171"/>
      <c r="D90" s="171"/>
      <c r="E90" s="171"/>
      <c r="F90" s="172"/>
      <c r="G90" s="170" t="s">
        <v>101</v>
      </c>
      <c r="H90" s="171"/>
      <c r="I90" s="171"/>
      <c r="J90" s="171"/>
      <c r="K90" s="172"/>
      <c r="L90" s="173" t="s">
        <v>51</v>
      </c>
      <c r="M90" s="174"/>
      <c r="N90" s="174"/>
      <c r="O90" s="174"/>
      <c r="P90" s="175"/>
    </row>
    <row r="91" spans="1:26" ht="15" customHeight="1" x14ac:dyDescent="0.25">
      <c r="A91" s="5"/>
      <c r="B91" s="134"/>
      <c r="C91" s="135"/>
      <c r="D91" s="135"/>
      <c r="E91" s="135"/>
      <c r="F91" s="136"/>
      <c r="G91" s="134"/>
      <c r="H91" s="135"/>
      <c r="I91" s="135"/>
      <c r="J91" s="135"/>
      <c r="K91" s="136"/>
      <c r="L91" s="143" t="s">
        <v>102</v>
      </c>
      <c r="M91" s="144"/>
      <c r="N91" s="144"/>
      <c r="O91" s="145">
        <f>+AVERAGE(E18:E68)</f>
        <v>6.1699999999999998E-2</v>
      </c>
      <c r="P91" s="146"/>
    </row>
    <row r="92" spans="1:26" ht="15" customHeight="1" thickBot="1" x14ac:dyDescent="0.3">
      <c r="A92" s="5"/>
      <c r="B92" s="137"/>
      <c r="C92" s="138"/>
      <c r="D92" s="138"/>
      <c r="E92" s="138"/>
      <c r="F92" s="139"/>
      <c r="G92" s="137"/>
      <c r="H92" s="138"/>
      <c r="I92" s="138"/>
      <c r="J92" s="138"/>
      <c r="K92" s="139"/>
      <c r="L92" s="147" t="s">
        <v>103</v>
      </c>
      <c r="M92" s="148"/>
      <c r="N92" s="148"/>
      <c r="O92" s="149">
        <f>+MAX(E18:E68)</f>
        <v>0.09</v>
      </c>
      <c r="P92" s="150"/>
    </row>
    <row r="93" spans="1:26" ht="18.600000000000001" customHeight="1" x14ac:dyDescent="0.25">
      <c r="A93" s="6"/>
      <c r="B93" s="137"/>
      <c r="C93" s="138"/>
      <c r="D93" s="138"/>
      <c r="E93" s="138"/>
      <c r="F93" s="139"/>
      <c r="G93" s="137"/>
      <c r="H93" s="138"/>
      <c r="I93" s="138"/>
      <c r="J93" s="138"/>
      <c r="K93" s="139"/>
      <c r="L93" s="151" t="s">
        <v>111</v>
      </c>
      <c r="M93" s="152"/>
      <c r="N93" s="152"/>
      <c r="O93" s="152"/>
      <c r="P93" s="153"/>
    </row>
    <row r="94" spans="1:26" ht="61.5" customHeight="1" x14ac:dyDescent="0.25">
      <c r="A94" s="10"/>
      <c r="B94" s="137"/>
      <c r="C94" s="138"/>
      <c r="D94" s="138"/>
      <c r="E94" s="138"/>
      <c r="F94" s="139"/>
      <c r="G94" s="137"/>
      <c r="H94" s="138"/>
      <c r="I94" s="138"/>
      <c r="J94" s="138"/>
      <c r="K94" s="139"/>
      <c r="L94" s="154"/>
      <c r="M94" s="155"/>
      <c r="N94" s="155"/>
      <c r="O94" s="155"/>
      <c r="P94" s="156"/>
    </row>
    <row r="95" spans="1:26" ht="15" customHeight="1" thickBot="1" x14ac:dyDescent="0.3">
      <c r="A95" s="5"/>
      <c r="B95" s="137"/>
      <c r="C95" s="138"/>
      <c r="D95" s="138"/>
      <c r="E95" s="138"/>
      <c r="F95" s="139"/>
      <c r="G95" s="137"/>
      <c r="H95" s="138"/>
      <c r="I95" s="138"/>
      <c r="J95" s="138"/>
      <c r="K95" s="139"/>
      <c r="L95" s="157"/>
      <c r="M95" s="158"/>
      <c r="N95" s="158"/>
      <c r="O95" s="158"/>
      <c r="P95" s="159"/>
    </row>
    <row r="96" spans="1:26" ht="22.5" customHeight="1" thickBot="1" x14ac:dyDescent="0.3">
      <c r="A96" s="5"/>
      <c r="B96" s="137"/>
      <c r="C96" s="138"/>
      <c r="D96" s="138"/>
      <c r="E96" s="138"/>
      <c r="F96" s="139"/>
      <c r="G96" s="137"/>
      <c r="H96" s="138"/>
      <c r="I96" s="138"/>
      <c r="J96" s="138"/>
      <c r="K96" s="139"/>
      <c r="L96" s="160" t="s">
        <v>35</v>
      </c>
      <c r="M96" s="161"/>
      <c r="N96" s="161"/>
      <c r="O96" s="161"/>
      <c r="P96" s="99">
        <v>6.8</v>
      </c>
    </row>
    <row r="97" spans="1:18" ht="32.25" customHeight="1" thickBot="1" x14ac:dyDescent="0.3">
      <c r="A97" s="5"/>
      <c r="B97" s="140"/>
      <c r="C97" s="141"/>
      <c r="D97" s="141"/>
      <c r="E97" s="141"/>
      <c r="F97" s="142"/>
      <c r="G97" s="140"/>
      <c r="H97" s="141"/>
      <c r="I97" s="141"/>
      <c r="J97" s="141"/>
      <c r="K97" s="142"/>
      <c r="L97" s="162" t="s">
        <v>50</v>
      </c>
      <c r="M97" s="163"/>
      <c r="N97" s="163"/>
      <c r="O97" s="163"/>
      <c r="P97" s="99">
        <v>4.7270000000000003</v>
      </c>
      <c r="R97" s="100"/>
    </row>
    <row r="98" spans="1:18" ht="23.45" customHeight="1" thickBot="1" x14ac:dyDescent="0.3">
      <c r="A98" s="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</row>
    <row r="99" spans="1:18" ht="15.75" thickBot="1" x14ac:dyDescent="0.3">
      <c r="A99" s="118" t="s">
        <v>36</v>
      </c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20"/>
    </row>
    <row r="100" spans="1:18" ht="159" customHeight="1" thickBot="1" x14ac:dyDescent="0.3">
      <c r="A100" s="4"/>
      <c r="B100" s="121"/>
      <c r="C100" s="122"/>
      <c r="D100" s="122"/>
      <c r="E100" s="122"/>
      <c r="F100" s="123"/>
      <c r="G100" s="121"/>
      <c r="H100" s="122"/>
      <c r="I100" s="122"/>
      <c r="J100" s="122"/>
      <c r="K100" s="123"/>
      <c r="L100" s="121"/>
      <c r="M100" s="122"/>
      <c r="N100" s="122"/>
      <c r="O100" s="122"/>
      <c r="P100" s="124"/>
    </row>
    <row r="101" spans="1:18" s="9" customFormat="1" ht="32.450000000000003" customHeight="1" thickBot="1" x14ac:dyDescent="0.3">
      <c r="A101" s="101"/>
      <c r="B101" s="125" t="s">
        <v>52</v>
      </c>
      <c r="C101" s="126"/>
      <c r="D101" s="127" t="s">
        <v>112</v>
      </c>
      <c r="E101" s="128"/>
      <c r="F101" s="129"/>
      <c r="G101" s="130" t="s">
        <v>104</v>
      </c>
      <c r="H101" s="131"/>
      <c r="I101" s="131"/>
      <c r="J101" s="131"/>
      <c r="K101" s="132"/>
      <c r="L101" s="130" t="s">
        <v>105</v>
      </c>
      <c r="M101" s="131"/>
      <c r="N101" s="131"/>
      <c r="O101" s="131"/>
      <c r="P101" s="133"/>
    </row>
    <row r="102" spans="1:18" s="9" customFormat="1" ht="37.15" customHeight="1" thickBot="1" x14ac:dyDescent="0.3">
      <c r="A102" s="8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3"/>
      <c r="R102"/>
    </row>
    <row r="103" spans="1:18" s="3" customFormat="1" ht="15.75" customHeight="1" thickBot="1" x14ac:dyDescent="0.3">
      <c r="A103" s="114" t="s">
        <v>37</v>
      </c>
      <c r="B103" s="115"/>
      <c r="C103" s="115"/>
      <c r="D103" s="115"/>
      <c r="E103" s="115"/>
      <c r="F103" s="115"/>
      <c r="G103" s="115"/>
      <c r="H103" s="115"/>
      <c r="I103" s="115"/>
      <c r="J103" s="115" t="s">
        <v>38</v>
      </c>
      <c r="K103" s="115"/>
      <c r="L103" s="115"/>
      <c r="M103" s="115"/>
      <c r="N103" s="115"/>
      <c r="O103" s="115"/>
      <c r="P103" s="116"/>
      <c r="R103"/>
    </row>
  </sheetData>
  <mergeCells count="206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C101"/>
    <mergeCell ref="D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rowBreaks count="1" manualBreakCount="1">
    <brk id="68" min="1" max="15" man="1"/>
  </rowBreaks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3"/>
  <sheetViews>
    <sheetView tabSelected="1" view="pageBreakPreview" zoomScaleSheetLayoutView="100" zoomScalePageLayoutView="110" workbookViewId="0">
      <selection activeCell="A5" sqref="A5"/>
    </sheetView>
  </sheetViews>
  <sheetFormatPr baseColWidth="10" defaultColWidth="11.42578125" defaultRowHeight="15" x14ac:dyDescent="0.25"/>
  <cols>
    <col min="1" max="1" width="0.140625" customWidth="1"/>
    <col min="2" max="3" width="11.28515625" customWidth="1"/>
    <col min="4" max="16" width="10.7109375" customWidth="1"/>
  </cols>
  <sheetData>
    <row r="1" spans="1:26" ht="4.9000000000000004" customHeight="1" thickBot="1" x14ac:dyDescent="0.3">
      <c r="J1" s="17"/>
    </row>
    <row r="2" spans="1:26" s="2" customFormat="1" ht="30" customHeight="1" x14ac:dyDescent="0.25">
      <c r="A2" s="321"/>
      <c r="B2" s="322"/>
      <c r="C2" s="323"/>
      <c r="D2" s="324"/>
      <c r="E2" s="325" t="s">
        <v>114</v>
      </c>
      <c r="F2" s="326"/>
      <c r="G2" s="326"/>
      <c r="H2" s="326"/>
      <c r="I2" s="326"/>
      <c r="J2" s="326"/>
      <c r="K2" s="326"/>
      <c r="L2" s="326"/>
      <c r="M2" s="326"/>
      <c r="N2" s="326"/>
      <c r="O2" s="327"/>
      <c r="P2" s="328"/>
    </row>
    <row r="3" spans="1:26" s="2" customFormat="1" ht="27" customHeight="1" thickBot="1" x14ac:dyDescent="0.3">
      <c r="A3" s="321"/>
      <c r="B3" s="329"/>
      <c r="C3" s="330"/>
      <c r="D3" s="331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4"/>
      <c r="P3" s="335"/>
    </row>
    <row r="4" spans="1:26" s="19" customFormat="1" ht="11.25" customHeight="1" thickBot="1" x14ac:dyDescent="0.3">
      <c r="A4" s="18"/>
      <c r="B4" s="30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26" customFormat="1" ht="31.5" customHeight="1" thickBot="1" x14ac:dyDescent="0.3">
      <c r="A5" s="20"/>
      <c r="B5" s="21" t="s">
        <v>0</v>
      </c>
      <c r="C5" s="304">
        <v>43406</v>
      </c>
      <c r="D5" s="305"/>
      <c r="E5" s="22" t="s">
        <v>53</v>
      </c>
      <c r="F5" s="23">
        <v>2</v>
      </c>
      <c r="G5" s="24" t="s">
        <v>1</v>
      </c>
      <c r="H5" s="306" t="s">
        <v>115</v>
      </c>
      <c r="I5" s="307"/>
      <c r="J5" s="307"/>
      <c r="K5" s="307"/>
      <c r="L5" s="307"/>
      <c r="M5" s="307"/>
      <c r="N5" s="307"/>
      <c r="O5" s="307"/>
      <c r="P5" s="308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31" customFormat="1" ht="21.75" customHeight="1" thickBot="1" x14ac:dyDescent="0.3">
      <c r="A6" s="27"/>
      <c r="B6" s="288" t="s">
        <v>2</v>
      </c>
      <c r="C6" s="289"/>
      <c r="D6" s="290" t="s">
        <v>106</v>
      </c>
      <c r="E6" s="291"/>
      <c r="F6" s="291"/>
      <c r="G6" s="291"/>
      <c r="H6" s="291"/>
      <c r="I6" s="292"/>
      <c r="J6" s="28" t="s">
        <v>3</v>
      </c>
      <c r="K6" s="290" t="s">
        <v>107</v>
      </c>
      <c r="L6" s="292"/>
      <c r="M6" s="290" t="s">
        <v>108</v>
      </c>
      <c r="N6" s="293"/>
      <c r="O6" s="29" t="s">
        <v>54</v>
      </c>
      <c r="P6" s="30">
        <v>1986</v>
      </c>
    </row>
    <row r="7" spans="1:26" s="26" customFormat="1" ht="21.75" customHeight="1" x14ac:dyDescent="0.25">
      <c r="B7" s="294" t="s">
        <v>55</v>
      </c>
      <c r="C7" s="295" t="s">
        <v>56</v>
      </c>
      <c r="D7" s="266"/>
      <c r="E7" s="32"/>
      <c r="F7" s="296" t="s">
        <v>57</v>
      </c>
      <c r="G7" s="297"/>
      <c r="H7" s="297"/>
      <c r="I7" s="297"/>
      <c r="J7" s="298" t="s">
        <v>58</v>
      </c>
      <c r="K7" s="299"/>
      <c r="L7" s="299"/>
      <c r="M7" s="300"/>
      <c r="N7" s="301" t="s">
        <v>59</v>
      </c>
      <c r="O7" s="302"/>
      <c r="P7" s="33" t="s">
        <v>60</v>
      </c>
    </row>
    <row r="8" spans="1:26" s="26" customFormat="1" ht="21.75" customHeight="1" thickBot="1" x14ac:dyDescent="0.3">
      <c r="B8" s="240"/>
      <c r="C8" s="257" t="s">
        <v>61</v>
      </c>
      <c r="D8" s="256"/>
      <c r="E8" s="91" t="s">
        <v>4</v>
      </c>
      <c r="F8" s="267" t="s">
        <v>5</v>
      </c>
      <c r="G8" s="268"/>
      <c r="H8" s="268"/>
      <c r="I8" s="268"/>
      <c r="J8" s="269"/>
      <c r="K8" s="270"/>
      <c r="L8" s="270"/>
      <c r="M8" s="271"/>
      <c r="N8" s="272"/>
      <c r="O8" s="273"/>
      <c r="P8" s="34"/>
    </row>
    <row r="9" spans="1:26" s="26" customFormat="1" ht="21.75" customHeight="1" x14ac:dyDescent="0.25">
      <c r="B9" s="274" t="s">
        <v>6</v>
      </c>
      <c r="C9" s="277" t="s">
        <v>62</v>
      </c>
      <c r="D9" s="278" t="s">
        <v>63</v>
      </c>
      <c r="E9" s="263"/>
      <c r="F9" s="35"/>
      <c r="G9" s="279" t="s">
        <v>7</v>
      </c>
      <c r="H9" s="280" t="s">
        <v>8</v>
      </c>
      <c r="I9" s="266"/>
      <c r="J9" s="36"/>
      <c r="K9" s="277" t="s">
        <v>64</v>
      </c>
      <c r="L9" s="281" t="s">
        <v>113</v>
      </c>
      <c r="M9" s="282"/>
      <c r="N9" s="283"/>
      <c r="O9" s="283"/>
      <c r="P9" s="284"/>
    </row>
    <row r="10" spans="1:26" s="26" customFormat="1" ht="21.75" customHeight="1" thickBot="1" x14ac:dyDescent="0.3">
      <c r="B10" s="275"/>
      <c r="C10" s="220"/>
      <c r="D10" s="261" t="s">
        <v>65</v>
      </c>
      <c r="E10" s="256"/>
      <c r="F10" s="92" t="s">
        <v>4</v>
      </c>
      <c r="G10" s="220"/>
      <c r="H10" s="261" t="s">
        <v>9</v>
      </c>
      <c r="I10" s="256"/>
      <c r="J10" s="93" t="s">
        <v>4</v>
      </c>
      <c r="K10" s="220"/>
      <c r="L10" s="285"/>
      <c r="M10" s="286"/>
      <c r="N10" s="286"/>
      <c r="O10" s="286"/>
      <c r="P10" s="287"/>
    </row>
    <row r="11" spans="1:26" s="26" customFormat="1" ht="21.75" customHeight="1" x14ac:dyDescent="0.25">
      <c r="A11" s="20"/>
      <c r="B11" s="275"/>
      <c r="C11" s="262" t="s">
        <v>10</v>
      </c>
      <c r="D11" s="263"/>
      <c r="E11" s="94">
        <v>0.40277777777777773</v>
      </c>
      <c r="F11" s="264" t="s">
        <v>11</v>
      </c>
      <c r="G11" s="263"/>
      <c r="H11" s="37">
        <v>1.5</v>
      </c>
      <c r="I11" s="265" t="s">
        <v>12</v>
      </c>
      <c r="J11" s="266"/>
      <c r="K11" s="37">
        <v>18</v>
      </c>
      <c r="L11" s="262" t="s">
        <v>13</v>
      </c>
      <c r="M11" s="263"/>
      <c r="N11" s="95">
        <v>1.97</v>
      </c>
      <c r="O11" s="253" t="s">
        <v>66</v>
      </c>
      <c r="P11" s="254"/>
    </row>
    <row r="12" spans="1:26" s="26" customFormat="1" ht="21.75" customHeight="1" thickBot="1" x14ac:dyDescent="0.3">
      <c r="A12" s="20"/>
      <c r="B12" s="276"/>
      <c r="C12" s="255" t="s">
        <v>14</v>
      </c>
      <c r="D12" s="256"/>
      <c r="E12" s="94">
        <v>0.42569444444444443</v>
      </c>
      <c r="F12" s="257" t="s">
        <v>15</v>
      </c>
      <c r="G12" s="256"/>
      <c r="H12" s="37">
        <v>1.5</v>
      </c>
      <c r="I12" s="258" t="s">
        <v>16</v>
      </c>
      <c r="J12" s="256"/>
      <c r="K12" s="94">
        <v>0.40138888888888885</v>
      </c>
      <c r="L12" s="255" t="s">
        <v>17</v>
      </c>
      <c r="M12" s="256"/>
      <c r="N12" s="96">
        <v>0.2</v>
      </c>
      <c r="O12" s="259">
        <v>0</v>
      </c>
      <c r="P12" s="260"/>
    </row>
    <row r="13" spans="1:26" s="26" customFormat="1" ht="21.75" customHeight="1" x14ac:dyDescent="0.25">
      <c r="A13" s="20"/>
      <c r="B13" s="238" t="s">
        <v>18</v>
      </c>
      <c r="C13" s="241" t="s">
        <v>67</v>
      </c>
      <c r="D13" s="242"/>
      <c r="E13" s="242"/>
      <c r="F13" s="243" t="s">
        <v>68</v>
      </c>
      <c r="G13" s="242"/>
      <c r="H13" s="242"/>
      <c r="I13" s="242"/>
      <c r="J13" s="243" t="s">
        <v>69</v>
      </c>
      <c r="K13" s="242"/>
      <c r="L13" s="242"/>
      <c r="M13" s="242"/>
      <c r="N13" s="244" t="s">
        <v>70</v>
      </c>
      <c r="O13" s="242"/>
      <c r="P13" s="245"/>
      <c r="Q13" s="38"/>
      <c r="R13" s="25"/>
      <c r="S13" s="25"/>
      <c r="T13" s="25"/>
      <c r="U13" s="25"/>
      <c r="V13" s="25"/>
      <c r="W13" s="25"/>
      <c r="X13" s="25"/>
      <c r="Y13" s="25"/>
      <c r="Z13" s="25"/>
    </row>
    <row r="14" spans="1:26" s="26" customFormat="1" ht="21.75" customHeight="1" x14ac:dyDescent="0.25">
      <c r="A14" s="20"/>
      <c r="B14" s="239"/>
      <c r="C14" s="246" t="s">
        <v>71</v>
      </c>
      <c r="D14" s="247"/>
      <c r="E14" s="247"/>
      <c r="F14" s="248" t="s">
        <v>72</v>
      </c>
      <c r="G14" s="247"/>
      <c r="H14" s="247"/>
      <c r="I14" s="247"/>
      <c r="J14" s="249" t="s">
        <v>73</v>
      </c>
      <c r="K14" s="247"/>
      <c r="L14" s="247"/>
      <c r="M14" s="247"/>
      <c r="N14" s="250"/>
      <c r="O14" s="235"/>
      <c r="P14" s="251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s="26" customFormat="1" ht="21.75" customHeight="1" thickBot="1" x14ac:dyDescent="0.3">
      <c r="A15" s="20"/>
      <c r="B15" s="240"/>
      <c r="C15" s="252" t="s">
        <v>74</v>
      </c>
      <c r="D15" s="222"/>
      <c r="E15" s="222"/>
      <c r="F15" s="222" t="s">
        <v>75</v>
      </c>
      <c r="G15" s="223"/>
      <c r="H15" s="223"/>
      <c r="I15" s="223"/>
      <c r="J15" s="222" t="s">
        <v>76</v>
      </c>
      <c r="K15" s="223"/>
      <c r="L15" s="223"/>
      <c r="M15" s="223"/>
      <c r="N15" s="224"/>
      <c r="O15" s="225"/>
      <c r="P15" s="226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s="26" customFormat="1" ht="21.75" customHeight="1" x14ac:dyDescent="0.25">
      <c r="A16" s="20"/>
      <c r="B16" s="227" t="s">
        <v>19</v>
      </c>
      <c r="C16" s="229" t="s">
        <v>20</v>
      </c>
      <c r="D16" s="229" t="s">
        <v>41</v>
      </c>
      <c r="E16" s="231" t="s">
        <v>21</v>
      </c>
      <c r="F16" s="232" t="s">
        <v>42</v>
      </c>
      <c r="G16" s="233"/>
      <c r="H16" s="229" t="s">
        <v>77</v>
      </c>
      <c r="I16" s="236" t="s">
        <v>78</v>
      </c>
      <c r="J16" s="39" t="s">
        <v>43</v>
      </c>
      <c r="K16" s="40"/>
      <c r="L16" s="41" t="s">
        <v>44</v>
      </c>
      <c r="M16" s="41" t="s">
        <v>45</v>
      </c>
      <c r="N16" s="41" t="s">
        <v>45</v>
      </c>
      <c r="O16" s="41" t="s">
        <v>46</v>
      </c>
      <c r="P16" s="42" t="s">
        <v>22</v>
      </c>
    </row>
    <row r="17" spans="1:26" s="26" customFormat="1" ht="21.75" customHeight="1" thickBot="1" x14ac:dyDescent="0.3">
      <c r="A17" s="43"/>
      <c r="B17" s="228"/>
      <c r="C17" s="230"/>
      <c r="D17" s="230"/>
      <c r="E17" s="230"/>
      <c r="F17" s="234"/>
      <c r="G17" s="235"/>
      <c r="H17" s="230"/>
      <c r="I17" s="237"/>
      <c r="J17" s="44" t="s">
        <v>23</v>
      </c>
      <c r="K17" s="45" t="s">
        <v>24</v>
      </c>
      <c r="L17" s="45" t="s">
        <v>47</v>
      </c>
      <c r="M17" s="45" t="s">
        <v>48</v>
      </c>
      <c r="N17" s="45" t="s">
        <v>25</v>
      </c>
      <c r="O17" s="45" t="s">
        <v>26</v>
      </c>
      <c r="P17" s="46" t="s">
        <v>27</v>
      </c>
    </row>
    <row r="18" spans="1:26" s="55" customFormat="1" ht="21.75" customHeight="1" thickBot="1" x14ac:dyDescent="0.3">
      <c r="A18" s="47"/>
      <c r="B18" s="48"/>
      <c r="C18" s="49">
        <f>+O12</f>
        <v>0</v>
      </c>
      <c r="D18" s="97">
        <v>6.8000000000000005E-2</v>
      </c>
      <c r="E18" s="50"/>
      <c r="F18" s="51"/>
      <c r="G18" s="56"/>
      <c r="H18" s="52"/>
      <c r="I18" s="53"/>
      <c r="J18" s="57"/>
      <c r="K18" s="50"/>
      <c r="L18" s="50"/>
      <c r="M18" s="50"/>
      <c r="N18" s="50"/>
      <c r="O18" s="50"/>
      <c r="P18" s="54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s="55" customFormat="1" ht="13.5" customHeight="1" x14ac:dyDescent="0.25">
      <c r="A19" s="47"/>
      <c r="B19" s="218">
        <v>1</v>
      </c>
      <c r="C19" s="221">
        <f>+C18+$N$12</f>
        <v>0.2</v>
      </c>
      <c r="D19" s="198">
        <v>9.5000000000000001E-2</v>
      </c>
      <c r="E19" s="198">
        <v>7.4999999999999997E-2</v>
      </c>
      <c r="F19" s="58" t="s">
        <v>79</v>
      </c>
      <c r="G19" s="59">
        <v>0</v>
      </c>
      <c r="H19" s="60"/>
      <c r="I19" s="61"/>
      <c r="J19" s="62"/>
      <c r="K19" s="198">
        <f>+IF(E19&lt;=0.12,(J21),(IF(E19&lt;0.16,((J20+2*J21+J22)/4),IF(E19&gt;=0.16,((J19+3*J20+2*J21+3*J22+J23)/10)))))</f>
        <v>0.251</v>
      </c>
      <c r="L19" s="198">
        <f>ROUND(+(D18+D19)/2*(C19-C18),3)</f>
        <v>1.6E-2</v>
      </c>
      <c r="M19" s="198">
        <f>ROUND(+K19*L19,4)</f>
        <v>4.0000000000000001E-3</v>
      </c>
      <c r="N19" s="201">
        <f>ROUND(+M19/$M$88*100,2)</f>
        <v>4.78</v>
      </c>
      <c r="O19" s="202"/>
      <c r="P19" s="203"/>
      <c r="Q19" s="47"/>
      <c r="R19" s="98"/>
      <c r="T19" s="47"/>
      <c r="U19" s="47"/>
      <c r="V19" s="47"/>
      <c r="W19" s="47"/>
      <c r="X19" s="47"/>
      <c r="Y19" s="47"/>
      <c r="Z19" s="47"/>
    </row>
    <row r="20" spans="1:26" s="55" customFormat="1" ht="13.5" customHeight="1" x14ac:dyDescent="0.25">
      <c r="A20" s="47"/>
      <c r="B20" s="219"/>
      <c r="C20" s="199"/>
      <c r="D20" s="199"/>
      <c r="E20" s="199"/>
      <c r="F20" s="63" t="s">
        <v>80</v>
      </c>
      <c r="G20" s="64" t="str">
        <f>IF(E19&lt;0.125,"NA",IF(0.125&lt;=E19,(0.2*E19)))</f>
        <v>NA</v>
      </c>
      <c r="H20" s="65"/>
      <c r="I20" s="66"/>
      <c r="J20" s="67"/>
      <c r="K20" s="199"/>
      <c r="L20" s="199"/>
      <c r="M20" s="199"/>
      <c r="N20" s="199"/>
      <c r="O20" s="199"/>
      <c r="P20" s="204"/>
      <c r="Q20" s="47"/>
      <c r="R20" s="47"/>
      <c r="S20" s="98"/>
      <c r="T20" s="47"/>
      <c r="U20" s="47"/>
      <c r="V20" s="47"/>
      <c r="W20" s="47"/>
      <c r="X20" s="47"/>
      <c r="Y20" s="47"/>
      <c r="Z20" s="47"/>
    </row>
    <row r="21" spans="1:26" s="55" customFormat="1" ht="13.5" customHeight="1" x14ac:dyDescent="0.25">
      <c r="A21" s="47"/>
      <c r="B21" s="219"/>
      <c r="C21" s="199"/>
      <c r="D21" s="199"/>
      <c r="E21" s="199"/>
      <c r="F21" s="63" t="s">
        <v>81</v>
      </c>
      <c r="G21" s="64">
        <f>+E19*0.4</f>
        <v>0.03</v>
      </c>
      <c r="H21" s="65"/>
      <c r="I21" s="66"/>
      <c r="J21" s="67">
        <v>0.251</v>
      </c>
      <c r="K21" s="199"/>
      <c r="L21" s="199"/>
      <c r="M21" s="199"/>
      <c r="N21" s="199"/>
      <c r="O21" s="199"/>
      <c r="P21" s="204"/>
      <c r="Q21" s="47"/>
      <c r="R21" s="98"/>
      <c r="S21" s="98"/>
      <c r="T21" s="47"/>
      <c r="U21" s="47"/>
      <c r="V21" s="47"/>
      <c r="W21" s="47"/>
      <c r="X21" s="47"/>
      <c r="Y21" s="47"/>
      <c r="Z21" s="47"/>
    </row>
    <row r="22" spans="1:26" s="55" customFormat="1" ht="13.5" customHeight="1" x14ac:dyDescent="0.25">
      <c r="A22" s="47"/>
      <c r="B22" s="219"/>
      <c r="C22" s="199"/>
      <c r="D22" s="199"/>
      <c r="E22" s="199"/>
      <c r="F22" s="63" t="s">
        <v>82</v>
      </c>
      <c r="G22" s="64" t="str">
        <f>IF(E19&lt;0.125,"NA",IF(0.125&lt;=E19,(0.8*E19)))</f>
        <v>NA</v>
      </c>
      <c r="H22" s="65"/>
      <c r="I22" s="66"/>
      <c r="J22" s="67"/>
      <c r="K22" s="199"/>
      <c r="L22" s="199"/>
      <c r="M22" s="199"/>
      <c r="N22" s="199"/>
      <c r="O22" s="199"/>
      <c r="P22" s="204"/>
      <c r="Q22" s="47"/>
      <c r="R22" s="47"/>
      <c r="S22" s="98"/>
      <c r="T22" s="47"/>
      <c r="U22" s="47"/>
      <c r="V22" s="47"/>
      <c r="W22" s="47"/>
      <c r="X22" s="47"/>
      <c r="Y22" s="47"/>
      <c r="Z22" s="47"/>
    </row>
    <row r="23" spans="1:26" s="55" customFormat="1" ht="13.5" customHeight="1" thickBot="1" x14ac:dyDescent="0.3">
      <c r="A23" s="47"/>
      <c r="B23" s="220"/>
      <c r="C23" s="200"/>
      <c r="D23" s="200"/>
      <c r="E23" s="200"/>
      <c r="F23" s="68" t="s">
        <v>83</v>
      </c>
      <c r="G23" s="69">
        <f>+E19</f>
        <v>7.4999999999999997E-2</v>
      </c>
      <c r="H23" s="70"/>
      <c r="I23" s="71"/>
      <c r="J23" s="72"/>
      <c r="K23" s="200"/>
      <c r="L23" s="200"/>
      <c r="M23" s="200"/>
      <c r="N23" s="200"/>
      <c r="O23" s="200"/>
      <c r="P23" s="205"/>
      <c r="Q23" s="47"/>
      <c r="R23" s="98"/>
      <c r="S23" s="98"/>
      <c r="T23" s="47"/>
      <c r="U23" s="47"/>
      <c r="V23" s="47"/>
      <c r="W23" s="47"/>
      <c r="X23" s="47"/>
      <c r="Y23" s="47"/>
      <c r="Z23" s="47"/>
    </row>
    <row r="24" spans="1:26" s="55" customFormat="1" ht="13.5" customHeight="1" x14ac:dyDescent="0.25">
      <c r="A24" s="47"/>
      <c r="B24" s="218">
        <v>2</v>
      </c>
      <c r="C24" s="221">
        <f>+C19+$N$12</f>
        <v>0.4</v>
      </c>
      <c r="D24" s="198">
        <v>0.105</v>
      </c>
      <c r="E24" s="198">
        <v>0.121</v>
      </c>
      <c r="F24" s="58" t="s">
        <v>79</v>
      </c>
      <c r="G24" s="59">
        <v>0</v>
      </c>
      <c r="H24" s="60"/>
      <c r="I24" s="61"/>
      <c r="J24" s="62"/>
      <c r="K24" s="198">
        <f>+IF(E24&lt;=0.12,(J26),(IF(E24&lt;0.16,((J25+2*J26+J27)/4),IF(E24&gt;=0.16,((J24+3*J25+2*J26+3*J27+J28)/10)))))</f>
        <v>0.22550000000000001</v>
      </c>
      <c r="L24" s="198">
        <f>ROUND(+(D19+D24)/2*(C24-C19),3)</f>
        <v>0.02</v>
      </c>
      <c r="M24" s="198">
        <f>ROUND(+K24*L24,4)</f>
        <v>4.4999999999999997E-3</v>
      </c>
      <c r="N24" s="201">
        <f>ROUND(+M24/$M$88*100,2)</f>
        <v>5.38</v>
      </c>
      <c r="O24" s="202"/>
      <c r="P24" s="203"/>
      <c r="Q24" s="47"/>
      <c r="R24" s="47"/>
      <c r="T24" s="47"/>
      <c r="U24" s="47"/>
      <c r="V24" s="47"/>
      <c r="W24" s="47"/>
      <c r="X24" s="47"/>
      <c r="Y24" s="47"/>
      <c r="Z24" s="47"/>
    </row>
    <row r="25" spans="1:26" s="55" customFormat="1" ht="13.5" customHeight="1" x14ac:dyDescent="0.25">
      <c r="A25" s="47"/>
      <c r="B25" s="219"/>
      <c r="C25" s="199"/>
      <c r="D25" s="199"/>
      <c r="E25" s="199"/>
      <c r="F25" s="63" t="s">
        <v>80</v>
      </c>
      <c r="G25" s="64" t="str">
        <f t="shared" ref="G25" si="0">IF(E24&lt;0.125,"NA",IF(0.125&lt;=E24,(0.2*E24)))</f>
        <v>NA</v>
      </c>
      <c r="H25" s="65"/>
      <c r="I25" s="66"/>
      <c r="J25" s="67"/>
      <c r="K25" s="199"/>
      <c r="L25" s="199"/>
      <c r="M25" s="199"/>
      <c r="N25" s="199"/>
      <c r="O25" s="199"/>
      <c r="P25" s="204"/>
      <c r="Q25" s="47"/>
      <c r="R25" s="98"/>
      <c r="S25" s="98"/>
      <c r="T25" s="47"/>
      <c r="U25" s="47"/>
      <c r="V25" s="47"/>
      <c r="W25" s="47"/>
      <c r="X25" s="47"/>
      <c r="Y25" s="47"/>
      <c r="Z25" s="47"/>
    </row>
    <row r="26" spans="1:26" s="55" customFormat="1" ht="13.5" customHeight="1" x14ac:dyDescent="0.25">
      <c r="A26" s="47"/>
      <c r="B26" s="219"/>
      <c r="C26" s="199"/>
      <c r="D26" s="199"/>
      <c r="E26" s="199"/>
      <c r="F26" s="63" t="s">
        <v>81</v>
      </c>
      <c r="G26" s="64">
        <f t="shared" ref="G26" si="1">+E24*0.4</f>
        <v>4.8399999999999999E-2</v>
      </c>
      <c r="H26" s="65"/>
      <c r="I26" s="66"/>
      <c r="J26" s="67">
        <v>0.45100000000000001</v>
      </c>
      <c r="K26" s="199"/>
      <c r="L26" s="199"/>
      <c r="M26" s="199"/>
      <c r="N26" s="199"/>
      <c r="O26" s="199"/>
      <c r="P26" s="204"/>
      <c r="Q26" s="47"/>
      <c r="R26" s="47"/>
      <c r="S26" s="98"/>
      <c r="T26" s="47"/>
      <c r="U26" s="47"/>
      <c r="V26" s="47"/>
      <c r="W26" s="47"/>
      <c r="X26" s="47"/>
      <c r="Y26" s="47"/>
      <c r="Z26" s="47"/>
    </row>
    <row r="27" spans="1:26" s="55" customFormat="1" ht="13.5" customHeight="1" x14ac:dyDescent="0.25">
      <c r="A27" s="47"/>
      <c r="B27" s="219"/>
      <c r="C27" s="199"/>
      <c r="D27" s="199"/>
      <c r="E27" s="199"/>
      <c r="F27" s="63" t="s">
        <v>82</v>
      </c>
      <c r="G27" s="64" t="str">
        <f t="shared" ref="G27" si="2">IF(E24&lt;0.125,"NA",IF(0.125&lt;=E24,(0.8*E24)))</f>
        <v>NA</v>
      </c>
      <c r="H27" s="65"/>
      <c r="I27" s="66"/>
      <c r="J27" s="67"/>
      <c r="K27" s="199"/>
      <c r="L27" s="199"/>
      <c r="M27" s="199"/>
      <c r="N27" s="199"/>
      <c r="O27" s="199"/>
      <c r="P27" s="204"/>
      <c r="Q27" s="47"/>
      <c r="R27" s="98"/>
      <c r="S27" s="98"/>
      <c r="T27" s="47"/>
      <c r="U27" s="47"/>
      <c r="V27" s="47"/>
      <c r="W27" s="47"/>
      <c r="X27" s="47"/>
      <c r="Y27" s="47"/>
      <c r="Z27" s="47"/>
    </row>
    <row r="28" spans="1:26" s="55" customFormat="1" ht="13.5" customHeight="1" thickBot="1" x14ac:dyDescent="0.3">
      <c r="A28" s="47"/>
      <c r="B28" s="220"/>
      <c r="C28" s="200"/>
      <c r="D28" s="200"/>
      <c r="E28" s="200"/>
      <c r="F28" s="68" t="s">
        <v>83</v>
      </c>
      <c r="G28" s="69">
        <f t="shared" ref="G28" si="3">+E24</f>
        <v>0.121</v>
      </c>
      <c r="H28" s="70"/>
      <c r="I28" s="71"/>
      <c r="J28" s="72"/>
      <c r="K28" s="200"/>
      <c r="L28" s="200"/>
      <c r="M28" s="200"/>
      <c r="N28" s="200"/>
      <c r="O28" s="200"/>
      <c r="P28" s="205"/>
      <c r="Q28" s="47"/>
      <c r="R28" s="47"/>
      <c r="S28" s="98"/>
      <c r="T28" s="47"/>
      <c r="U28" s="47"/>
      <c r="V28" s="47"/>
      <c r="W28" s="47"/>
      <c r="X28" s="47"/>
      <c r="Y28" s="47"/>
      <c r="Z28" s="47"/>
    </row>
    <row r="29" spans="1:26" s="55" customFormat="1" ht="13.5" customHeight="1" x14ac:dyDescent="0.25">
      <c r="A29" s="47"/>
      <c r="B29" s="218">
        <v>3</v>
      </c>
      <c r="C29" s="221">
        <f>+C24+$N$12</f>
        <v>0.60000000000000009</v>
      </c>
      <c r="D29" s="198">
        <v>7.6999999999999999E-2</v>
      </c>
      <c r="E29" s="198">
        <v>0.104</v>
      </c>
      <c r="F29" s="58" t="s">
        <v>79</v>
      </c>
      <c r="G29" s="59">
        <v>0</v>
      </c>
      <c r="H29" s="60"/>
      <c r="I29" s="61"/>
      <c r="J29" s="62"/>
      <c r="K29" s="198">
        <f t="shared" ref="K29" si="4">+IF(E29&lt;=0.12,(J31),(IF(E29&lt;0.16,((J30+2*J31+J32)/4),IF(E29&gt;=0.16,((J29+3*J30+2*J31+3*J32+J33)/10)))))</f>
        <v>0.64</v>
      </c>
      <c r="L29" s="198">
        <f>ROUND(+(D24+D29)/2*(C29-C24),3)</f>
        <v>1.7999999999999999E-2</v>
      </c>
      <c r="M29" s="198">
        <f t="shared" ref="M29" si="5">ROUND(+K29*L29,4)</f>
        <v>1.15E-2</v>
      </c>
      <c r="N29" s="201">
        <f t="shared" ref="N29" si="6">ROUND(+M29/$M$88*100,2)</f>
        <v>13.76</v>
      </c>
      <c r="O29" s="202"/>
      <c r="P29" s="203"/>
      <c r="Q29" s="47"/>
      <c r="R29" s="98"/>
      <c r="T29" s="47"/>
      <c r="U29" s="47"/>
      <c r="V29" s="47"/>
      <c r="W29" s="47"/>
      <c r="X29" s="47"/>
      <c r="Y29" s="47"/>
      <c r="Z29" s="47"/>
    </row>
    <row r="30" spans="1:26" s="55" customFormat="1" ht="13.5" customHeight="1" x14ac:dyDescent="0.25">
      <c r="A30" s="47"/>
      <c r="B30" s="219"/>
      <c r="C30" s="199"/>
      <c r="D30" s="199"/>
      <c r="E30" s="199"/>
      <c r="F30" s="63" t="s">
        <v>80</v>
      </c>
      <c r="G30" s="64" t="str">
        <f t="shared" ref="G30" si="7">IF(E29&lt;0.125,"NA",IF(0.125&lt;=E29,(0.2*E29)))</f>
        <v>NA</v>
      </c>
      <c r="H30" s="65"/>
      <c r="I30" s="66"/>
      <c r="J30" s="67"/>
      <c r="K30" s="199"/>
      <c r="L30" s="199"/>
      <c r="M30" s="199"/>
      <c r="N30" s="199"/>
      <c r="O30" s="199"/>
      <c r="P30" s="204"/>
      <c r="Q30" s="47"/>
      <c r="R30" s="47"/>
      <c r="S30" s="98"/>
      <c r="T30" s="47"/>
      <c r="U30" s="47"/>
      <c r="V30" s="47"/>
      <c r="W30" s="47"/>
      <c r="X30" s="47"/>
      <c r="Y30" s="47"/>
      <c r="Z30" s="47"/>
    </row>
    <row r="31" spans="1:26" s="55" customFormat="1" ht="13.5" customHeight="1" x14ac:dyDescent="0.25">
      <c r="A31" s="47"/>
      <c r="B31" s="219"/>
      <c r="C31" s="199"/>
      <c r="D31" s="199"/>
      <c r="E31" s="199"/>
      <c r="F31" s="63" t="s">
        <v>81</v>
      </c>
      <c r="G31" s="64">
        <f t="shared" ref="G31" si="8">+E29*0.4</f>
        <v>4.1599999999999998E-2</v>
      </c>
      <c r="H31" s="65"/>
      <c r="I31" s="66"/>
      <c r="J31" s="67">
        <v>0.64</v>
      </c>
      <c r="K31" s="199"/>
      <c r="L31" s="199"/>
      <c r="M31" s="199"/>
      <c r="N31" s="199"/>
      <c r="O31" s="199"/>
      <c r="P31" s="204"/>
      <c r="Q31" s="47"/>
      <c r="R31" s="98"/>
      <c r="S31" s="98"/>
      <c r="T31" s="47"/>
      <c r="U31" s="47"/>
      <c r="V31" s="47"/>
      <c r="W31" s="47"/>
      <c r="X31" s="47"/>
      <c r="Y31" s="47"/>
      <c r="Z31" s="47"/>
    </row>
    <row r="32" spans="1:26" s="55" customFormat="1" ht="13.5" customHeight="1" x14ac:dyDescent="0.25">
      <c r="A32" s="47"/>
      <c r="B32" s="219"/>
      <c r="C32" s="199"/>
      <c r="D32" s="199"/>
      <c r="E32" s="199"/>
      <c r="F32" s="63" t="s">
        <v>82</v>
      </c>
      <c r="G32" s="64" t="str">
        <f t="shared" ref="G32" si="9">IF(E29&lt;0.125,"NA",IF(0.125&lt;=E29,(0.8*E29)))</f>
        <v>NA</v>
      </c>
      <c r="H32" s="65"/>
      <c r="I32" s="66"/>
      <c r="J32" s="67"/>
      <c r="K32" s="199"/>
      <c r="L32" s="199"/>
      <c r="M32" s="199"/>
      <c r="N32" s="199"/>
      <c r="O32" s="199"/>
      <c r="P32" s="204"/>
      <c r="Q32" s="47"/>
      <c r="R32" s="47"/>
      <c r="S32" s="98"/>
      <c r="T32" s="47"/>
      <c r="U32" s="47"/>
      <c r="V32" s="47"/>
      <c r="W32" s="47"/>
      <c r="X32" s="47"/>
      <c r="Y32" s="47"/>
      <c r="Z32" s="47"/>
    </row>
    <row r="33" spans="1:26" s="55" customFormat="1" ht="13.5" customHeight="1" thickBot="1" x14ac:dyDescent="0.3">
      <c r="A33" s="47"/>
      <c r="B33" s="220"/>
      <c r="C33" s="200"/>
      <c r="D33" s="200"/>
      <c r="E33" s="200"/>
      <c r="F33" s="68" t="s">
        <v>83</v>
      </c>
      <c r="G33" s="69">
        <f t="shared" ref="G33" si="10">+E29</f>
        <v>0.104</v>
      </c>
      <c r="H33" s="70"/>
      <c r="I33" s="71"/>
      <c r="J33" s="72"/>
      <c r="K33" s="200"/>
      <c r="L33" s="200"/>
      <c r="M33" s="200"/>
      <c r="N33" s="200"/>
      <c r="O33" s="200"/>
      <c r="P33" s="205"/>
      <c r="Q33" s="47"/>
      <c r="R33" s="98"/>
      <c r="S33" s="98"/>
      <c r="T33" s="47"/>
      <c r="U33" s="47"/>
      <c r="V33" s="47"/>
      <c r="W33" s="47"/>
      <c r="X33" s="47"/>
      <c r="Y33" s="47"/>
      <c r="Z33" s="47"/>
    </row>
    <row r="34" spans="1:26" s="55" customFormat="1" ht="13.5" customHeight="1" x14ac:dyDescent="0.25">
      <c r="A34" s="47"/>
      <c r="B34" s="218">
        <v>4</v>
      </c>
      <c r="C34" s="221">
        <f>+C29+$N$12</f>
        <v>0.8</v>
      </c>
      <c r="D34" s="198">
        <v>7.8E-2</v>
      </c>
      <c r="E34" s="198">
        <v>7.0999999999999994E-2</v>
      </c>
      <c r="F34" s="58" t="s">
        <v>79</v>
      </c>
      <c r="G34" s="59">
        <v>0</v>
      </c>
      <c r="H34" s="60"/>
      <c r="I34" s="61"/>
      <c r="J34" s="62"/>
      <c r="K34" s="198">
        <f t="shared" ref="K34" si="11">+IF(E34&lt;=0.12,(J36),(IF(E34&lt;0.16,((J35+2*J36+J37)/4),IF(E34&gt;=0.16,((J34+3*J35+2*J36+3*J37+J38)/10)))))</f>
        <v>0.73499999999999999</v>
      </c>
      <c r="L34" s="198">
        <f>ROUND(+(D29+D34)/2*(C34-C29),3)</f>
        <v>1.6E-2</v>
      </c>
      <c r="M34" s="198">
        <f t="shared" ref="M34" si="12">ROUND(+K34*L34,4)</f>
        <v>1.18E-2</v>
      </c>
      <c r="N34" s="201">
        <f t="shared" ref="N34" si="13">ROUND(+M34/$M$88*100,2)</f>
        <v>14.11</v>
      </c>
      <c r="O34" s="202"/>
      <c r="P34" s="203"/>
      <c r="Q34" s="47"/>
      <c r="R34" s="47"/>
      <c r="T34" s="47"/>
      <c r="U34" s="47"/>
      <c r="V34" s="47"/>
      <c r="W34" s="47"/>
      <c r="X34" s="47"/>
      <c r="Y34" s="47"/>
      <c r="Z34" s="47"/>
    </row>
    <row r="35" spans="1:26" s="55" customFormat="1" ht="13.5" customHeight="1" x14ac:dyDescent="0.25">
      <c r="A35" s="47"/>
      <c r="B35" s="219"/>
      <c r="C35" s="199"/>
      <c r="D35" s="199"/>
      <c r="E35" s="199"/>
      <c r="F35" s="63" t="s">
        <v>80</v>
      </c>
      <c r="G35" s="64" t="str">
        <f t="shared" ref="G35" si="14">IF(E34&lt;0.125,"NA",IF(0.125&lt;=E34,(0.2*E34)))</f>
        <v>NA</v>
      </c>
      <c r="H35" s="65"/>
      <c r="I35" s="66"/>
      <c r="J35" s="67"/>
      <c r="K35" s="199"/>
      <c r="L35" s="199"/>
      <c r="M35" s="199"/>
      <c r="N35" s="199"/>
      <c r="O35" s="199"/>
      <c r="P35" s="204"/>
      <c r="Q35" s="47"/>
      <c r="R35" s="98"/>
      <c r="S35" s="98"/>
      <c r="T35" s="47"/>
      <c r="U35" s="47"/>
      <c r="V35" s="47"/>
      <c r="W35" s="47"/>
      <c r="X35" s="47"/>
      <c r="Y35" s="47"/>
      <c r="Z35" s="47"/>
    </row>
    <row r="36" spans="1:26" s="55" customFormat="1" ht="13.5" customHeight="1" x14ac:dyDescent="0.25">
      <c r="A36" s="47"/>
      <c r="B36" s="219"/>
      <c r="C36" s="199"/>
      <c r="D36" s="199"/>
      <c r="E36" s="199"/>
      <c r="F36" s="63" t="s">
        <v>81</v>
      </c>
      <c r="G36" s="64">
        <f t="shared" ref="G36" si="15">+E34*0.4</f>
        <v>2.8399999999999998E-2</v>
      </c>
      <c r="H36" s="65"/>
      <c r="I36" s="66"/>
      <c r="J36" s="67">
        <v>0.73499999999999999</v>
      </c>
      <c r="K36" s="199"/>
      <c r="L36" s="199"/>
      <c r="M36" s="199"/>
      <c r="N36" s="199"/>
      <c r="O36" s="199"/>
      <c r="P36" s="204"/>
      <c r="Q36" s="47"/>
      <c r="R36" s="47"/>
      <c r="S36" s="98"/>
      <c r="T36" s="47"/>
      <c r="U36" s="47"/>
      <c r="V36" s="47"/>
      <c r="W36" s="47"/>
      <c r="X36" s="47"/>
      <c r="Y36" s="47"/>
      <c r="Z36" s="47"/>
    </row>
    <row r="37" spans="1:26" s="55" customFormat="1" ht="13.5" customHeight="1" x14ac:dyDescent="0.25">
      <c r="A37" s="47"/>
      <c r="B37" s="219"/>
      <c r="C37" s="199"/>
      <c r="D37" s="199"/>
      <c r="E37" s="199"/>
      <c r="F37" s="63" t="s">
        <v>82</v>
      </c>
      <c r="G37" s="64" t="str">
        <f t="shared" ref="G37" si="16">IF(E34&lt;0.125,"NA",IF(0.125&lt;=E34,(0.8*E34)))</f>
        <v>NA</v>
      </c>
      <c r="H37" s="65"/>
      <c r="I37" s="66"/>
      <c r="J37" s="67"/>
      <c r="K37" s="199"/>
      <c r="L37" s="199"/>
      <c r="M37" s="199"/>
      <c r="N37" s="199"/>
      <c r="O37" s="199"/>
      <c r="P37" s="204"/>
      <c r="Q37" s="47"/>
      <c r="R37" s="98"/>
      <c r="S37" s="98"/>
      <c r="T37" s="47"/>
      <c r="U37" s="47"/>
      <c r="V37" s="47"/>
      <c r="W37" s="47"/>
      <c r="X37" s="47"/>
      <c r="Y37" s="47"/>
      <c r="Z37" s="47"/>
    </row>
    <row r="38" spans="1:26" s="55" customFormat="1" ht="13.5" customHeight="1" thickBot="1" x14ac:dyDescent="0.3">
      <c r="A38" s="47"/>
      <c r="B38" s="220"/>
      <c r="C38" s="200"/>
      <c r="D38" s="200"/>
      <c r="E38" s="200"/>
      <c r="F38" s="68" t="s">
        <v>83</v>
      </c>
      <c r="G38" s="69">
        <f t="shared" ref="G38" si="17">+E34</f>
        <v>7.0999999999999994E-2</v>
      </c>
      <c r="H38" s="70"/>
      <c r="I38" s="71"/>
      <c r="J38" s="72"/>
      <c r="K38" s="200"/>
      <c r="L38" s="200"/>
      <c r="M38" s="200"/>
      <c r="N38" s="200"/>
      <c r="O38" s="200"/>
      <c r="P38" s="205"/>
      <c r="Q38" s="47"/>
      <c r="R38" s="47"/>
      <c r="S38" s="98"/>
      <c r="T38" s="47"/>
      <c r="U38" s="47"/>
      <c r="V38" s="47"/>
      <c r="W38" s="47"/>
      <c r="X38" s="47"/>
      <c r="Y38" s="47"/>
      <c r="Z38" s="47"/>
    </row>
    <row r="39" spans="1:26" s="55" customFormat="1" ht="13.5" customHeight="1" x14ac:dyDescent="0.25">
      <c r="A39" s="47"/>
      <c r="B39" s="218">
        <v>5</v>
      </c>
      <c r="C39" s="221">
        <f t="shared" ref="C39" si="18">+C34+$N$12</f>
        <v>1</v>
      </c>
      <c r="D39" s="198">
        <v>8.1000000000000003E-2</v>
      </c>
      <c r="E39" s="198">
        <v>8.6999999999999994E-2</v>
      </c>
      <c r="F39" s="58" t="s">
        <v>79</v>
      </c>
      <c r="G39" s="59">
        <v>0</v>
      </c>
      <c r="H39" s="60"/>
      <c r="I39" s="61"/>
      <c r="J39" s="62"/>
      <c r="K39" s="198">
        <f t="shared" ref="K39" si="19">+IF(E39&lt;=0.12,(J41),(IF(E39&lt;0.16,((J40+2*J41+J42)/4),IF(E39&gt;=0.16,((J39+3*J40+2*J41+3*J42+J43)/10)))))</f>
        <v>0.81399999999999995</v>
      </c>
      <c r="L39" s="198">
        <f>ROUND(+(D34+D39)/2*(C39-C34),3)</f>
        <v>1.6E-2</v>
      </c>
      <c r="M39" s="198">
        <f t="shared" ref="M39" si="20">ROUND(+K39*L39,4)</f>
        <v>1.2999999999999999E-2</v>
      </c>
      <c r="N39" s="201">
        <f t="shared" ref="N39" si="21">ROUND(+M39/$M$88*100,2)</f>
        <v>15.55</v>
      </c>
      <c r="O39" s="202"/>
      <c r="P39" s="203"/>
      <c r="Q39" s="47"/>
      <c r="R39" s="98"/>
      <c r="T39" s="47"/>
      <c r="U39" s="47"/>
      <c r="V39" s="47"/>
      <c r="W39" s="47"/>
      <c r="X39" s="47"/>
      <c r="Y39" s="47"/>
      <c r="Z39" s="47"/>
    </row>
    <row r="40" spans="1:26" s="55" customFormat="1" ht="13.5" customHeight="1" x14ac:dyDescent="0.25">
      <c r="A40" s="47"/>
      <c r="B40" s="219"/>
      <c r="C40" s="199"/>
      <c r="D40" s="199"/>
      <c r="E40" s="199"/>
      <c r="F40" s="63" t="s">
        <v>80</v>
      </c>
      <c r="G40" s="64" t="str">
        <f t="shared" ref="G40" si="22">IF(E39&lt;0.125,"NA",IF(0.125&lt;=E39,(0.2*E39)))</f>
        <v>NA</v>
      </c>
      <c r="H40" s="65"/>
      <c r="I40" s="66"/>
      <c r="J40" s="67"/>
      <c r="K40" s="199"/>
      <c r="L40" s="199"/>
      <c r="M40" s="199"/>
      <c r="N40" s="199"/>
      <c r="O40" s="199"/>
      <c r="P40" s="204"/>
      <c r="Q40" s="47"/>
      <c r="R40" s="47"/>
      <c r="S40" s="98"/>
      <c r="T40" s="47"/>
      <c r="U40" s="47"/>
      <c r="V40" s="47"/>
      <c r="W40" s="47"/>
      <c r="X40" s="47"/>
      <c r="Y40" s="47"/>
      <c r="Z40" s="47"/>
    </row>
    <row r="41" spans="1:26" s="55" customFormat="1" ht="13.5" customHeight="1" x14ac:dyDescent="0.25">
      <c r="A41" s="47"/>
      <c r="B41" s="219"/>
      <c r="C41" s="199"/>
      <c r="D41" s="199"/>
      <c r="E41" s="199"/>
      <c r="F41" s="63" t="s">
        <v>81</v>
      </c>
      <c r="G41" s="64">
        <f t="shared" ref="G41" si="23">+E39*0.4</f>
        <v>3.4799999999999998E-2</v>
      </c>
      <c r="H41" s="65"/>
      <c r="I41" s="66"/>
      <c r="J41" s="67">
        <v>0.81399999999999995</v>
      </c>
      <c r="K41" s="199"/>
      <c r="L41" s="199"/>
      <c r="M41" s="199"/>
      <c r="N41" s="199"/>
      <c r="O41" s="199"/>
      <c r="P41" s="204"/>
      <c r="Q41" s="47"/>
      <c r="R41" s="98"/>
      <c r="S41" s="98"/>
      <c r="T41" s="47"/>
      <c r="U41" s="47"/>
      <c r="V41" s="47"/>
      <c r="W41" s="47"/>
      <c r="X41" s="47"/>
      <c r="Y41" s="47"/>
      <c r="Z41" s="47"/>
    </row>
    <row r="42" spans="1:26" s="55" customFormat="1" ht="13.5" customHeight="1" x14ac:dyDescent="0.25">
      <c r="A42" s="47"/>
      <c r="B42" s="219"/>
      <c r="C42" s="199"/>
      <c r="D42" s="199"/>
      <c r="E42" s="199"/>
      <c r="F42" s="63" t="s">
        <v>82</v>
      </c>
      <c r="G42" s="64" t="str">
        <f t="shared" ref="G42" si="24">IF(E39&lt;0.125,"NA",IF(0.125&lt;=E39,(0.8*E39)))</f>
        <v>NA</v>
      </c>
      <c r="H42" s="65"/>
      <c r="I42" s="66"/>
      <c r="J42" s="67"/>
      <c r="K42" s="199"/>
      <c r="L42" s="199"/>
      <c r="M42" s="199"/>
      <c r="N42" s="199"/>
      <c r="O42" s="199"/>
      <c r="P42" s="204"/>
      <c r="Q42" s="47"/>
      <c r="R42" s="47"/>
      <c r="S42" s="98"/>
      <c r="T42" s="47"/>
      <c r="U42" s="47"/>
      <c r="V42" s="47"/>
      <c r="W42" s="47"/>
      <c r="X42" s="47"/>
      <c r="Y42" s="47"/>
      <c r="Z42" s="47"/>
    </row>
    <row r="43" spans="1:26" s="55" customFormat="1" ht="13.5" customHeight="1" thickBot="1" x14ac:dyDescent="0.3">
      <c r="A43" s="47"/>
      <c r="B43" s="220"/>
      <c r="C43" s="200"/>
      <c r="D43" s="200"/>
      <c r="E43" s="200"/>
      <c r="F43" s="68" t="s">
        <v>83</v>
      </c>
      <c r="G43" s="69">
        <f t="shared" ref="G43" si="25">+E39</f>
        <v>8.6999999999999994E-2</v>
      </c>
      <c r="H43" s="70"/>
      <c r="I43" s="71"/>
      <c r="J43" s="72"/>
      <c r="K43" s="200"/>
      <c r="L43" s="200"/>
      <c r="M43" s="200"/>
      <c r="N43" s="200"/>
      <c r="O43" s="200"/>
      <c r="P43" s="205"/>
      <c r="Q43" s="47"/>
      <c r="R43" s="98"/>
      <c r="S43" s="98"/>
      <c r="T43" s="47"/>
      <c r="U43" s="47"/>
      <c r="V43" s="47"/>
      <c r="W43" s="47"/>
      <c r="X43" s="47"/>
      <c r="Y43" s="47"/>
      <c r="Z43" s="47"/>
    </row>
    <row r="44" spans="1:26" s="55" customFormat="1" ht="13.5" customHeight="1" x14ac:dyDescent="0.25">
      <c r="A44" s="47"/>
      <c r="B44" s="218">
        <v>6</v>
      </c>
      <c r="C44" s="221">
        <f t="shared" ref="C44" si="26">+C39+$N$12</f>
        <v>1.2</v>
      </c>
      <c r="D44" s="198">
        <v>8.1000000000000003E-2</v>
      </c>
      <c r="E44" s="198">
        <v>8.8999999999999996E-2</v>
      </c>
      <c r="F44" s="58" t="s">
        <v>79</v>
      </c>
      <c r="G44" s="59">
        <v>0</v>
      </c>
      <c r="H44" s="60"/>
      <c r="I44" s="61"/>
      <c r="J44" s="62"/>
      <c r="K44" s="198">
        <f t="shared" ref="K44" si="27">+IF(E44&lt;=0.12,(J46),(IF(E44&lt;0.16,((J45+2*J46+J47)/4),IF(E44&gt;=0.16,((J44+3*J45+2*J46+3*J47+J48)/10)))))</f>
        <v>0.75600000000000001</v>
      </c>
      <c r="L44" s="198">
        <f>ROUND(+(D39+D44)/2*(C44-C39),3)</f>
        <v>1.6E-2</v>
      </c>
      <c r="M44" s="198">
        <f t="shared" ref="M44" si="28">ROUND(+K44*L44,4)</f>
        <v>1.21E-2</v>
      </c>
      <c r="N44" s="201">
        <f t="shared" ref="N44" si="29">ROUND(+M44/$M$88*100,2)</f>
        <v>14.47</v>
      </c>
      <c r="O44" s="202"/>
      <c r="P44" s="203"/>
      <c r="Q44" s="47"/>
      <c r="R44" s="47"/>
      <c r="T44" s="47"/>
      <c r="U44" s="47"/>
      <c r="V44" s="47"/>
      <c r="W44" s="47"/>
      <c r="X44" s="47"/>
      <c r="Y44" s="47"/>
      <c r="Z44" s="47"/>
    </row>
    <row r="45" spans="1:26" s="55" customFormat="1" ht="13.5" customHeight="1" x14ac:dyDescent="0.25">
      <c r="A45" s="47"/>
      <c r="B45" s="219"/>
      <c r="C45" s="199"/>
      <c r="D45" s="199"/>
      <c r="E45" s="199"/>
      <c r="F45" s="63" t="s">
        <v>80</v>
      </c>
      <c r="G45" s="64" t="str">
        <f t="shared" ref="G45" si="30">IF(E44&lt;0.125,"NA",IF(0.125&lt;=E44,(0.2*E44)))</f>
        <v>NA</v>
      </c>
      <c r="H45" s="65"/>
      <c r="I45" s="66"/>
      <c r="J45" s="67"/>
      <c r="K45" s="199"/>
      <c r="L45" s="199"/>
      <c r="M45" s="199"/>
      <c r="N45" s="199"/>
      <c r="O45" s="199"/>
      <c r="P45" s="204"/>
      <c r="Q45" s="47"/>
      <c r="R45" s="98"/>
      <c r="S45" s="98"/>
      <c r="T45" s="47"/>
      <c r="U45" s="47"/>
      <c r="V45" s="47"/>
      <c r="W45" s="47"/>
      <c r="X45" s="47"/>
      <c r="Y45" s="47"/>
      <c r="Z45" s="47"/>
    </row>
    <row r="46" spans="1:26" s="55" customFormat="1" ht="13.5" customHeight="1" x14ac:dyDescent="0.25">
      <c r="A46" s="47"/>
      <c r="B46" s="219"/>
      <c r="C46" s="199"/>
      <c r="D46" s="199"/>
      <c r="E46" s="199"/>
      <c r="F46" s="63" t="s">
        <v>81</v>
      </c>
      <c r="G46" s="64">
        <f t="shared" ref="G46" si="31">+E44*0.4</f>
        <v>3.56E-2</v>
      </c>
      <c r="H46" s="65"/>
      <c r="I46" s="66"/>
      <c r="J46" s="67">
        <v>0.75600000000000001</v>
      </c>
      <c r="K46" s="199"/>
      <c r="L46" s="199"/>
      <c r="M46" s="199"/>
      <c r="N46" s="199"/>
      <c r="O46" s="199"/>
      <c r="P46" s="204"/>
      <c r="Q46" s="47"/>
      <c r="R46" s="47"/>
      <c r="S46" s="98"/>
      <c r="T46" s="47"/>
      <c r="U46" s="47"/>
      <c r="V46" s="47"/>
      <c r="W46" s="47"/>
      <c r="X46" s="47"/>
      <c r="Y46" s="47"/>
      <c r="Z46" s="47"/>
    </row>
    <row r="47" spans="1:26" s="55" customFormat="1" ht="13.5" customHeight="1" x14ac:dyDescent="0.25">
      <c r="A47" s="47"/>
      <c r="B47" s="219"/>
      <c r="C47" s="199"/>
      <c r="D47" s="199"/>
      <c r="E47" s="199"/>
      <c r="F47" s="63" t="s">
        <v>82</v>
      </c>
      <c r="G47" s="64" t="str">
        <f t="shared" ref="G47" si="32">IF(E44&lt;0.125,"NA",IF(0.125&lt;=E44,(0.8*E44)))</f>
        <v>NA</v>
      </c>
      <c r="H47" s="65"/>
      <c r="I47" s="66"/>
      <c r="J47" s="67"/>
      <c r="K47" s="199"/>
      <c r="L47" s="199"/>
      <c r="M47" s="199"/>
      <c r="N47" s="199"/>
      <c r="O47" s="199"/>
      <c r="P47" s="204"/>
      <c r="Q47" s="47"/>
      <c r="R47" s="98"/>
      <c r="S47" s="98"/>
      <c r="T47" s="47"/>
      <c r="U47" s="47"/>
      <c r="V47" s="47"/>
      <c r="W47" s="47"/>
      <c r="X47" s="47"/>
      <c r="Y47" s="47"/>
      <c r="Z47" s="47"/>
    </row>
    <row r="48" spans="1:26" s="55" customFormat="1" ht="13.5" customHeight="1" thickBot="1" x14ac:dyDescent="0.3">
      <c r="A48" s="47"/>
      <c r="B48" s="220"/>
      <c r="C48" s="200"/>
      <c r="D48" s="200"/>
      <c r="E48" s="200"/>
      <c r="F48" s="68" t="s">
        <v>83</v>
      </c>
      <c r="G48" s="69">
        <f t="shared" ref="G48" si="33">+E44</f>
        <v>8.8999999999999996E-2</v>
      </c>
      <c r="H48" s="70"/>
      <c r="I48" s="71"/>
      <c r="J48" s="72"/>
      <c r="K48" s="200"/>
      <c r="L48" s="200"/>
      <c r="M48" s="200"/>
      <c r="N48" s="200"/>
      <c r="O48" s="200"/>
      <c r="P48" s="205"/>
      <c r="Q48" s="47"/>
      <c r="R48" s="47"/>
      <c r="S48" s="98"/>
      <c r="T48" s="47"/>
      <c r="U48" s="47"/>
      <c r="V48" s="47"/>
      <c r="W48" s="47"/>
      <c r="X48" s="47"/>
      <c r="Y48" s="47"/>
      <c r="Z48" s="47"/>
    </row>
    <row r="49" spans="1:26" s="55" customFormat="1" ht="13.5" customHeight="1" x14ac:dyDescent="0.25">
      <c r="A49" s="47"/>
      <c r="B49" s="218">
        <v>7</v>
      </c>
      <c r="C49" s="221">
        <f t="shared" ref="C49" si="34">+C44+$N$12</f>
        <v>1.4</v>
      </c>
      <c r="D49" s="198">
        <v>8.2000000000000003E-2</v>
      </c>
      <c r="E49" s="198">
        <v>7.4999999999999997E-2</v>
      </c>
      <c r="F49" s="58" t="s">
        <v>79</v>
      </c>
      <c r="G49" s="59">
        <v>0</v>
      </c>
      <c r="H49" s="60"/>
      <c r="I49" s="61"/>
      <c r="J49" s="62"/>
      <c r="K49" s="198">
        <f>+IF(E49&lt;=0.12,(J51),(IF(E49&lt;0.16,((J50+2*J51+J52)/4),IF(E49&gt;=0.16,((J49+3*J50+2*J51+3*J52+J53)/10)))))</f>
        <v>0.60599999999999998</v>
      </c>
      <c r="L49" s="198">
        <f>ROUND(+(D44+D49)/2*(C49-C44),3)</f>
        <v>1.6E-2</v>
      </c>
      <c r="M49" s="198">
        <f t="shared" ref="M49" si="35">ROUND(+K49*L49,4)</f>
        <v>9.7000000000000003E-3</v>
      </c>
      <c r="N49" s="201">
        <f t="shared" ref="N49" si="36">ROUND(+M49/$M$88*100,2)</f>
        <v>11.6</v>
      </c>
      <c r="O49" s="202"/>
      <c r="P49" s="203"/>
      <c r="Q49" s="47"/>
      <c r="R49" s="98"/>
      <c r="T49" s="47"/>
      <c r="U49" s="47"/>
      <c r="V49" s="47"/>
      <c r="W49" s="47"/>
      <c r="X49" s="47"/>
      <c r="Y49" s="47"/>
      <c r="Z49" s="47"/>
    </row>
    <row r="50" spans="1:26" s="55" customFormat="1" ht="13.5" customHeight="1" x14ac:dyDescent="0.25">
      <c r="A50" s="47"/>
      <c r="B50" s="219"/>
      <c r="C50" s="199"/>
      <c r="D50" s="199"/>
      <c r="E50" s="199"/>
      <c r="F50" s="63" t="s">
        <v>80</v>
      </c>
      <c r="G50" s="64" t="str">
        <f t="shared" ref="G50" si="37">IF(E49&lt;0.125,"NA",IF(0.125&lt;=E49,(0.2*E49)))</f>
        <v>NA</v>
      </c>
      <c r="H50" s="65"/>
      <c r="I50" s="66"/>
      <c r="J50" s="67"/>
      <c r="K50" s="199"/>
      <c r="L50" s="199"/>
      <c r="M50" s="199"/>
      <c r="N50" s="199"/>
      <c r="O50" s="199"/>
      <c r="P50" s="204"/>
      <c r="Q50" s="47"/>
      <c r="R50" s="47"/>
      <c r="S50" s="98"/>
      <c r="T50" s="47"/>
      <c r="U50" s="47"/>
      <c r="V50" s="47"/>
      <c r="W50" s="47"/>
      <c r="X50" s="47"/>
      <c r="Y50" s="47"/>
      <c r="Z50" s="47"/>
    </row>
    <row r="51" spans="1:26" s="55" customFormat="1" ht="13.5" customHeight="1" x14ac:dyDescent="0.25">
      <c r="A51" s="47"/>
      <c r="B51" s="219"/>
      <c r="C51" s="199"/>
      <c r="D51" s="199"/>
      <c r="E51" s="199"/>
      <c r="F51" s="63" t="s">
        <v>81</v>
      </c>
      <c r="G51" s="64">
        <f t="shared" ref="G51" si="38">+E49*0.4</f>
        <v>0.03</v>
      </c>
      <c r="H51" s="65"/>
      <c r="I51" s="66"/>
      <c r="J51" s="67">
        <v>0.60599999999999998</v>
      </c>
      <c r="K51" s="199"/>
      <c r="L51" s="199"/>
      <c r="M51" s="199"/>
      <c r="N51" s="199"/>
      <c r="O51" s="199"/>
      <c r="P51" s="204"/>
      <c r="Q51" s="47"/>
      <c r="R51" s="47"/>
      <c r="S51" s="98"/>
      <c r="T51" s="47"/>
      <c r="U51" s="47"/>
      <c r="V51" s="47"/>
      <c r="W51" s="47"/>
      <c r="X51" s="47"/>
      <c r="Y51" s="47"/>
      <c r="Z51" s="47"/>
    </row>
    <row r="52" spans="1:26" s="55" customFormat="1" ht="13.5" customHeight="1" x14ac:dyDescent="0.25">
      <c r="A52" s="47"/>
      <c r="B52" s="219"/>
      <c r="C52" s="199"/>
      <c r="D52" s="199"/>
      <c r="E52" s="199"/>
      <c r="F52" s="63" t="s">
        <v>82</v>
      </c>
      <c r="G52" s="64" t="str">
        <f t="shared" ref="G52" si="39">IF(E49&lt;0.125,"NA",IF(0.125&lt;=E49,(0.8*E49)))</f>
        <v>NA</v>
      </c>
      <c r="H52" s="65"/>
      <c r="I52" s="66"/>
      <c r="J52" s="67"/>
      <c r="K52" s="199"/>
      <c r="L52" s="199"/>
      <c r="M52" s="199"/>
      <c r="N52" s="199"/>
      <c r="O52" s="199"/>
      <c r="P52" s="204"/>
      <c r="Q52" s="47"/>
      <c r="R52" s="47"/>
      <c r="S52" s="98"/>
      <c r="T52" s="47"/>
      <c r="U52" s="47"/>
      <c r="V52" s="47"/>
      <c r="W52" s="47"/>
      <c r="X52" s="47"/>
      <c r="Y52" s="47"/>
      <c r="Z52" s="47"/>
    </row>
    <row r="53" spans="1:26" s="55" customFormat="1" ht="13.5" customHeight="1" thickBot="1" x14ac:dyDescent="0.3">
      <c r="A53" s="47"/>
      <c r="B53" s="220"/>
      <c r="C53" s="200"/>
      <c r="D53" s="200"/>
      <c r="E53" s="200"/>
      <c r="F53" s="68" t="s">
        <v>83</v>
      </c>
      <c r="G53" s="69">
        <f t="shared" ref="G53" si="40">+E49</f>
        <v>7.4999999999999997E-2</v>
      </c>
      <c r="H53" s="70"/>
      <c r="I53" s="71"/>
      <c r="J53" s="72"/>
      <c r="K53" s="200"/>
      <c r="L53" s="200"/>
      <c r="M53" s="200"/>
      <c r="N53" s="200"/>
      <c r="O53" s="200"/>
      <c r="P53" s="205"/>
      <c r="Q53" s="47"/>
      <c r="R53" s="47"/>
      <c r="S53" s="98"/>
      <c r="T53" s="47"/>
      <c r="U53" s="47"/>
      <c r="V53" s="47"/>
      <c r="W53" s="47"/>
      <c r="X53" s="47"/>
      <c r="Y53" s="47"/>
      <c r="Z53" s="47"/>
    </row>
    <row r="54" spans="1:26" s="55" customFormat="1" ht="13.5" customHeight="1" x14ac:dyDescent="0.25">
      <c r="A54" s="47"/>
      <c r="B54" s="218">
        <v>8</v>
      </c>
      <c r="C54" s="221">
        <f t="shared" ref="C54" si="41">+C49+$N$12</f>
        <v>1.5999999999999999</v>
      </c>
      <c r="D54" s="198">
        <v>8.5000000000000006E-2</v>
      </c>
      <c r="E54" s="198">
        <v>8.2000000000000003E-2</v>
      </c>
      <c r="F54" s="58" t="s">
        <v>79</v>
      </c>
      <c r="G54" s="59">
        <v>0</v>
      </c>
      <c r="H54" s="60"/>
      <c r="I54" s="61"/>
      <c r="J54" s="62"/>
      <c r="K54" s="198">
        <f>+IF(E54&lt;=0.12,(J56),(IF(E54&lt;0.16,((J55+2*J56+J57)/4),IF(E54&gt;=0.16,((J54+3*J55+2*J56+3*J57+J58)/10)))))</f>
        <v>0.47199999999999998</v>
      </c>
      <c r="L54" s="198">
        <f>ROUND(+(D49+D54)/2*(C54-C49),3)</f>
        <v>1.7000000000000001E-2</v>
      </c>
      <c r="M54" s="198">
        <f t="shared" ref="M54" si="42">ROUND(+K54*L54,4)</f>
        <v>8.0000000000000002E-3</v>
      </c>
      <c r="N54" s="201">
        <f t="shared" ref="N54" si="43">ROUND(+M54/$M$88*100,2)</f>
        <v>9.57</v>
      </c>
      <c r="O54" s="202"/>
      <c r="P54" s="203"/>
      <c r="Q54" s="47"/>
      <c r="R54" s="47"/>
      <c r="T54" s="47"/>
      <c r="U54" s="47"/>
      <c r="V54" s="47"/>
      <c r="W54" s="47"/>
      <c r="X54" s="47"/>
      <c r="Y54" s="47"/>
      <c r="Z54" s="47"/>
    </row>
    <row r="55" spans="1:26" s="55" customFormat="1" ht="13.5" customHeight="1" x14ac:dyDescent="0.25">
      <c r="A55" s="47"/>
      <c r="B55" s="219"/>
      <c r="C55" s="199"/>
      <c r="D55" s="199"/>
      <c r="E55" s="199"/>
      <c r="F55" s="63" t="s">
        <v>80</v>
      </c>
      <c r="G55" s="64" t="str">
        <f t="shared" ref="G55" si="44">IF(E54&lt;0.125,"NA",IF(0.125&lt;=E54,(0.2*E54)))</f>
        <v>NA</v>
      </c>
      <c r="H55" s="65"/>
      <c r="I55" s="66"/>
      <c r="J55" s="67"/>
      <c r="K55" s="199"/>
      <c r="L55" s="199"/>
      <c r="M55" s="199"/>
      <c r="N55" s="199"/>
      <c r="O55" s="199"/>
      <c r="P55" s="204"/>
      <c r="Q55" s="47"/>
      <c r="R55" s="3"/>
      <c r="S55" s="98"/>
      <c r="T55" s="47"/>
      <c r="U55" s="47"/>
      <c r="V55" s="47"/>
      <c r="W55" s="47"/>
      <c r="X55" s="47"/>
      <c r="Y55" s="47"/>
      <c r="Z55" s="47"/>
    </row>
    <row r="56" spans="1:26" s="55" customFormat="1" ht="13.5" customHeight="1" x14ac:dyDescent="0.25">
      <c r="A56" s="47"/>
      <c r="B56" s="219"/>
      <c r="C56" s="199"/>
      <c r="D56" s="199"/>
      <c r="E56" s="199"/>
      <c r="F56" s="63" t="s">
        <v>81</v>
      </c>
      <c r="G56" s="64">
        <f t="shared" ref="G56" si="45">+E54*0.4</f>
        <v>3.2800000000000003E-2</v>
      </c>
      <c r="H56" s="65"/>
      <c r="I56" s="66"/>
      <c r="J56" s="67">
        <v>0.47199999999999998</v>
      </c>
      <c r="K56" s="199"/>
      <c r="L56" s="199"/>
      <c r="M56" s="199"/>
      <c r="N56" s="199"/>
      <c r="O56" s="199"/>
      <c r="P56" s="204"/>
      <c r="Q56" s="47"/>
      <c r="R56" s="3"/>
      <c r="S56" s="98"/>
      <c r="T56" s="47"/>
      <c r="U56" s="47"/>
      <c r="V56" s="47"/>
      <c r="W56" s="47"/>
      <c r="X56" s="47"/>
      <c r="Y56" s="47"/>
      <c r="Z56" s="47"/>
    </row>
    <row r="57" spans="1:26" s="55" customFormat="1" ht="13.5" customHeight="1" x14ac:dyDescent="0.25">
      <c r="A57" s="47"/>
      <c r="B57" s="219"/>
      <c r="C57" s="199"/>
      <c r="D57" s="199"/>
      <c r="E57" s="199"/>
      <c r="F57" s="63" t="s">
        <v>82</v>
      </c>
      <c r="G57" s="64" t="str">
        <f t="shared" ref="G57" si="46">IF(E54&lt;0.125,"NA",IF(0.125&lt;=E54,(0.8*E54)))</f>
        <v>NA</v>
      </c>
      <c r="H57" s="65"/>
      <c r="I57" s="66"/>
      <c r="J57" s="67"/>
      <c r="K57" s="199"/>
      <c r="L57" s="199"/>
      <c r="M57" s="199"/>
      <c r="N57" s="199"/>
      <c r="O57" s="199"/>
      <c r="P57" s="204"/>
      <c r="Q57" s="47"/>
      <c r="R57" s="3"/>
      <c r="S57" s="98"/>
      <c r="T57" s="47"/>
      <c r="U57" s="47"/>
      <c r="V57" s="47"/>
      <c r="W57" s="47"/>
      <c r="X57" s="47"/>
      <c r="Y57" s="47"/>
      <c r="Z57" s="47"/>
    </row>
    <row r="58" spans="1:26" s="55" customFormat="1" ht="13.5" customHeight="1" thickBot="1" x14ac:dyDescent="0.3">
      <c r="A58" s="47"/>
      <c r="B58" s="220"/>
      <c r="C58" s="200"/>
      <c r="D58" s="200"/>
      <c r="E58" s="200"/>
      <c r="F58" s="68" t="s">
        <v>83</v>
      </c>
      <c r="G58" s="69">
        <f t="shared" ref="G58" si="47">+E54</f>
        <v>8.2000000000000003E-2</v>
      </c>
      <c r="H58" s="70"/>
      <c r="I58" s="71"/>
      <c r="J58" s="72"/>
      <c r="K58" s="200"/>
      <c r="L58" s="200"/>
      <c r="M58" s="200"/>
      <c r="N58" s="200"/>
      <c r="O58" s="200"/>
      <c r="P58" s="205"/>
      <c r="Q58" s="47"/>
      <c r="R58" s="3"/>
      <c r="S58" s="98"/>
      <c r="T58" s="47"/>
      <c r="U58" s="47"/>
      <c r="V58" s="47"/>
      <c r="W58" s="47"/>
      <c r="X58" s="47"/>
      <c r="Y58" s="47"/>
      <c r="Z58" s="47"/>
    </row>
    <row r="59" spans="1:26" s="55" customFormat="1" ht="13.5" customHeight="1" x14ac:dyDescent="0.25">
      <c r="A59" s="47"/>
      <c r="B59" s="218">
        <v>9</v>
      </c>
      <c r="C59" s="221">
        <f t="shared" ref="C59" si="48">+C54+$N$12</f>
        <v>1.7999999999999998</v>
      </c>
      <c r="D59" s="198">
        <v>7.4999999999999997E-2</v>
      </c>
      <c r="E59" s="198">
        <v>0.105</v>
      </c>
      <c r="F59" s="58" t="s">
        <v>79</v>
      </c>
      <c r="G59" s="59">
        <v>0</v>
      </c>
      <c r="H59" s="60"/>
      <c r="I59" s="61"/>
      <c r="J59" s="62"/>
      <c r="K59" s="198">
        <f t="shared" ref="K59" si="49">+IF(E59&lt;=0.12,(J61),(IF(E59&lt;0.16,((J60+2*J61+J62)/4),IF(E59&gt;=0.16,((J59+3*J60+2*J61+3*J62+J63)/10)))))</f>
        <v>0.41899999999999998</v>
      </c>
      <c r="L59" s="198">
        <f>ROUND(+(D54+D59)/2*(C59-C54),3)</f>
        <v>1.6E-2</v>
      </c>
      <c r="M59" s="198">
        <f t="shared" ref="M59" si="50">ROUND(+K59*L59,4)</f>
        <v>6.7000000000000002E-3</v>
      </c>
      <c r="N59" s="201">
        <f t="shared" ref="N59" si="51">ROUND(+M59/$M$88*100,2)</f>
        <v>8.01</v>
      </c>
      <c r="O59" s="202"/>
      <c r="P59" s="203"/>
      <c r="Q59" s="47"/>
      <c r="R59" s="3"/>
      <c r="T59" s="47"/>
      <c r="U59" s="47"/>
      <c r="V59" s="47"/>
      <c r="W59" s="47"/>
      <c r="X59" s="47"/>
      <c r="Y59" s="47"/>
      <c r="Z59" s="47"/>
    </row>
    <row r="60" spans="1:26" s="55" customFormat="1" ht="13.5" customHeight="1" x14ac:dyDescent="0.25">
      <c r="A60" s="47"/>
      <c r="B60" s="219"/>
      <c r="C60" s="199"/>
      <c r="D60" s="199"/>
      <c r="E60" s="199"/>
      <c r="F60" s="63" t="s">
        <v>80</v>
      </c>
      <c r="G60" s="64" t="str">
        <f t="shared" ref="G60" si="52">IF(E59&lt;0.125,"NA",IF(0.125&lt;=E59,(0.2*E59)))</f>
        <v>NA</v>
      </c>
      <c r="H60" s="65"/>
      <c r="I60" s="66"/>
      <c r="J60" s="67"/>
      <c r="K60" s="199"/>
      <c r="L60" s="199"/>
      <c r="M60" s="199"/>
      <c r="N60" s="199"/>
      <c r="O60" s="199"/>
      <c r="P60" s="204"/>
      <c r="Q60" s="47"/>
      <c r="R60" s="3"/>
      <c r="S60" s="98"/>
      <c r="T60" s="47"/>
      <c r="U60" s="47"/>
      <c r="V60" s="47"/>
      <c r="W60" s="47"/>
      <c r="X60" s="47"/>
      <c r="Y60" s="47"/>
      <c r="Z60" s="47"/>
    </row>
    <row r="61" spans="1:26" s="55" customFormat="1" ht="13.5" customHeight="1" x14ac:dyDescent="0.25">
      <c r="A61" s="47"/>
      <c r="B61" s="219"/>
      <c r="C61" s="199"/>
      <c r="D61" s="199"/>
      <c r="E61" s="199"/>
      <c r="F61" s="63" t="s">
        <v>81</v>
      </c>
      <c r="G61" s="64">
        <f t="shared" ref="G61" si="53">+E59*0.4</f>
        <v>4.2000000000000003E-2</v>
      </c>
      <c r="H61" s="65"/>
      <c r="I61" s="66"/>
      <c r="J61" s="67">
        <v>0.41899999999999998</v>
      </c>
      <c r="K61" s="199"/>
      <c r="L61" s="199"/>
      <c r="M61" s="199"/>
      <c r="N61" s="199"/>
      <c r="O61" s="199"/>
      <c r="P61" s="204"/>
      <c r="Q61" s="47"/>
      <c r="R61" s="3"/>
      <c r="S61" s="98"/>
      <c r="T61" s="47"/>
      <c r="U61" s="47"/>
      <c r="V61" s="47"/>
      <c r="W61" s="47"/>
      <c r="X61" s="47"/>
      <c r="Y61" s="47"/>
      <c r="Z61" s="47"/>
    </row>
    <row r="62" spans="1:26" s="55" customFormat="1" ht="13.5" customHeight="1" x14ac:dyDescent="0.25">
      <c r="A62" s="47"/>
      <c r="B62" s="219"/>
      <c r="C62" s="199"/>
      <c r="D62" s="199"/>
      <c r="E62" s="199"/>
      <c r="F62" s="63" t="s">
        <v>82</v>
      </c>
      <c r="G62" s="64" t="str">
        <f t="shared" ref="G62" si="54">IF(E59&lt;0.125,"NA",IF(0.125&lt;=E59,(0.8*E59)))</f>
        <v>NA</v>
      </c>
      <c r="H62" s="65"/>
      <c r="I62" s="66"/>
      <c r="J62" s="67"/>
      <c r="K62" s="199"/>
      <c r="L62" s="199"/>
      <c r="M62" s="199"/>
      <c r="N62" s="199"/>
      <c r="O62" s="199"/>
      <c r="P62" s="204"/>
      <c r="Q62" s="47"/>
      <c r="R62" s="3"/>
      <c r="S62" s="98"/>
      <c r="T62" s="47"/>
      <c r="U62" s="47"/>
      <c r="V62" s="47"/>
      <c r="W62" s="47"/>
      <c r="X62" s="47"/>
      <c r="Y62" s="47"/>
      <c r="Z62" s="47"/>
    </row>
    <row r="63" spans="1:26" s="55" customFormat="1" ht="13.5" customHeight="1" thickBot="1" x14ac:dyDescent="0.3">
      <c r="A63" s="47"/>
      <c r="B63" s="220"/>
      <c r="C63" s="200"/>
      <c r="D63" s="200"/>
      <c r="E63" s="200"/>
      <c r="F63" s="68" t="s">
        <v>83</v>
      </c>
      <c r="G63" s="69">
        <f t="shared" ref="G63" si="55">+E59</f>
        <v>0.105</v>
      </c>
      <c r="H63" s="70"/>
      <c r="I63" s="71"/>
      <c r="J63" s="72"/>
      <c r="K63" s="200"/>
      <c r="L63" s="200"/>
      <c r="M63" s="200"/>
      <c r="N63" s="200"/>
      <c r="O63" s="200"/>
      <c r="P63" s="205"/>
      <c r="Q63" s="47"/>
      <c r="R63" s="81"/>
      <c r="S63" s="98"/>
      <c r="T63" s="47"/>
      <c r="U63" s="47"/>
      <c r="V63" s="47"/>
      <c r="W63" s="47"/>
      <c r="X63" s="47"/>
      <c r="Y63" s="47"/>
      <c r="Z63" s="47"/>
    </row>
    <row r="64" spans="1:26" s="55" customFormat="1" ht="13.5" customHeight="1" x14ac:dyDescent="0.25">
      <c r="A64" s="47"/>
      <c r="B64" s="218">
        <v>10</v>
      </c>
      <c r="C64" s="221">
        <v>1.97</v>
      </c>
      <c r="D64" s="198">
        <v>0.05</v>
      </c>
      <c r="E64" s="198">
        <v>6.5000000000000002E-2</v>
      </c>
      <c r="F64" s="58" t="s">
        <v>79</v>
      </c>
      <c r="G64" s="59">
        <v>0</v>
      </c>
      <c r="H64" s="60"/>
      <c r="I64" s="61"/>
      <c r="J64" s="62"/>
      <c r="K64" s="198">
        <f t="shared" ref="K64" si="56">+IF(E64&lt;=0.12,(J66),(IF(E64&lt;0.16,((J65+2*J66+J67)/4),IF(E64&gt;=0.16,((J64+3*J65+2*J66+3*J67+J68)/10)))))</f>
        <v>0.20799999999999999</v>
      </c>
      <c r="L64" s="198">
        <f>ROUND(+(D59+D64)/2*(C64-C59),3)</f>
        <v>1.0999999999999999E-2</v>
      </c>
      <c r="M64" s="198">
        <f t="shared" ref="M64" si="57">ROUND(+K64*L64,4)</f>
        <v>2.3E-3</v>
      </c>
      <c r="N64" s="201">
        <f t="shared" ref="N64" si="58">ROUND(+M64/$M$88*100,2)</f>
        <v>2.75</v>
      </c>
      <c r="O64" s="202"/>
      <c r="P64" s="203"/>
      <c r="Q64" s="47"/>
      <c r="R64" s="81"/>
      <c r="T64" s="47"/>
      <c r="U64" s="47"/>
      <c r="V64" s="47"/>
      <c r="W64" s="47"/>
      <c r="X64" s="47"/>
      <c r="Y64" s="47"/>
      <c r="Z64" s="47"/>
    </row>
    <row r="65" spans="1:26" s="55" customFormat="1" ht="13.5" customHeight="1" x14ac:dyDescent="0.25">
      <c r="A65" s="47"/>
      <c r="B65" s="219"/>
      <c r="C65" s="199"/>
      <c r="D65" s="199"/>
      <c r="E65" s="199"/>
      <c r="F65" s="63" t="s">
        <v>80</v>
      </c>
      <c r="G65" s="64" t="str">
        <f t="shared" ref="G65" si="59">IF(E64&lt;0.125,"NA",IF(0.125&lt;=E64,(0.2*E64)))</f>
        <v>NA</v>
      </c>
      <c r="H65" s="65"/>
      <c r="I65" s="66"/>
      <c r="J65" s="67"/>
      <c r="K65" s="199"/>
      <c r="L65" s="199"/>
      <c r="M65" s="199"/>
      <c r="N65" s="199"/>
      <c r="O65" s="199"/>
      <c r="P65" s="204"/>
      <c r="Q65" s="47"/>
      <c r="R65" s="81"/>
      <c r="S65" s="98"/>
      <c r="T65" s="47"/>
      <c r="U65" s="47"/>
      <c r="V65" s="47"/>
      <c r="W65" s="47"/>
      <c r="X65" s="47"/>
      <c r="Y65" s="47"/>
      <c r="Z65" s="47"/>
    </row>
    <row r="66" spans="1:26" s="55" customFormat="1" ht="13.5" customHeight="1" x14ac:dyDescent="0.25">
      <c r="A66" s="47"/>
      <c r="B66" s="219"/>
      <c r="C66" s="199"/>
      <c r="D66" s="199"/>
      <c r="E66" s="199"/>
      <c r="F66" s="63" t="s">
        <v>81</v>
      </c>
      <c r="G66" s="64">
        <f t="shared" ref="G66" si="60">+E64*0.4</f>
        <v>2.6000000000000002E-2</v>
      </c>
      <c r="H66" s="65"/>
      <c r="I66" s="66"/>
      <c r="J66" s="67">
        <v>0.20799999999999999</v>
      </c>
      <c r="K66" s="199"/>
      <c r="L66" s="199"/>
      <c r="M66" s="199"/>
      <c r="N66" s="199"/>
      <c r="O66" s="199"/>
      <c r="P66" s="204"/>
      <c r="Q66" s="47"/>
      <c r="R66" s="81"/>
      <c r="S66" s="98"/>
      <c r="T66" s="47"/>
      <c r="U66" s="47"/>
      <c r="V66" s="47"/>
      <c r="W66" s="47"/>
      <c r="X66" s="47"/>
      <c r="Y66" s="47"/>
      <c r="Z66" s="47"/>
    </row>
    <row r="67" spans="1:26" s="55" customFormat="1" ht="13.5" customHeight="1" x14ac:dyDescent="0.25">
      <c r="A67" s="47"/>
      <c r="B67" s="219"/>
      <c r="C67" s="199"/>
      <c r="D67" s="199"/>
      <c r="E67" s="199"/>
      <c r="F67" s="63" t="s">
        <v>82</v>
      </c>
      <c r="G67" s="64" t="str">
        <f t="shared" ref="G67" si="61">IF(E64&lt;0.125,"NA",IF(0.125&lt;=E64,(0.8*E64)))</f>
        <v>NA</v>
      </c>
      <c r="H67" s="65"/>
      <c r="I67" s="66"/>
      <c r="J67" s="67"/>
      <c r="K67" s="199"/>
      <c r="L67" s="199"/>
      <c r="M67" s="199"/>
      <c r="N67" s="199"/>
      <c r="O67" s="199"/>
      <c r="P67" s="204"/>
      <c r="Q67" s="47"/>
      <c r="R67" s="81"/>
      <c r="S67" s="98"/>
      <c r="T67" s="47"/>
      <c r="U67" s="47"/>
      <c r="V67" s="47"/>
      <c r="W67" s="47"/>
      <c r="X67" s="47"/>
      <c r="Y67" s="47"/>
      <c r="Z67" s="47"/>
    </row>
    <row r="68" spans="1:26" s="55" customFormat="1" ht="13.5" customHeight="1" thickBot="1" x14ac:dyDescent="0.3">
      <c r="A68" s="47"/>
      <c r="B68" s="220"/>
      <c r="C68" s="200"/>
      <c r="D68" s="200"/>
      <c r="E68" s="200"/>
      <c r="F68" s="68" t="s">
        <v>83</v>
      </c>
      <c r="G68" s="69">
        <f t="shared" ref="G68" si="62">+E64</f>
        <v>6.5000000000000002E-2</v>
      </c>
      <c r="H68" s="70"/>
      <c r="I68" s="71"/>
      <c r="J68" s="72"/>
      <c r="K68" s="200"/>
      <c r="L68" s="200"/>
      <c r="M68" s="200"/>
      <c r="N68" s="200"/>
      <c r="O68" s="200"/>
      <c r="P68" s="205"/>
      <c r="Q68" s="47"/>
      <c r="R68" s="81"/>
      <c r="S68" s="98"/>
      <c r="T68" s="47"/>
      <c r="U68" s="47"/>
      <c r="V68" s="47"/>
      <c r="W68" s="47"/>
      <c r="X68" s="47"/>
      <c r="Y68" s="47"/>
      <c r="Z68" s="47"/>
    </row>
    <row r="69" spans="1:26" s="3" customFormat="1" ht="14.1" customHeight="1" x14ac:dyDescent="0.25">
      <c r="B69" s="206" t="s">
        <v>28</v>
      </c>
      <c r="C69" s="209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1"/>
      <c r="R69"/>
    </row>
    <row r="70" spans="1:26" s="3" customFormat="1" ht="14.1" customHeight="1" x14ac:dyDescent="0.25">
      <c r="B70" s="207"/>
      <c r="C70" s="212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4"/>
      <c r="R70"/>
    </row>
    <row r="71" spans="1:26" s="3" customFormat="1" ht="14.1" customHeight="1" x14ac:dyDescent="0.25">
      <c r="B71" s="207"/>
      <c r="C71" s="212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4"/>
      <c r="R71"/>
    </row>
    <row r="72" spans="1:26" s="3" customFormat="1" ht="14.1" customHeight="1" x14ac:dyDescent="0.25">
      <c r="B72" s="207"/>
      <c r="C72" s="212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4"/>
      <c r="R72"/>
    </row>
    <row r="73" spans="1:26" s="3" customFormat="1" ht="14.1" customHeight="1" x14ac:dyDescent="0.25">
      <c r="B73" s="207"/>
      <c r="C73" s="212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4"/>
      <c r="R73"/>
    </row>
    <row r="74" spans="1:26" s="3" customFormat="1" ht="14.1" customHeight="1" thickBot="1" x14ac:dyDescent="0.3">
      <c r="B74" s="208"/>
      <c r="C74" s="215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7"/>
      <c r="R74"/>
    </row>
    <row r="75" spans="1:26" s="3" customFormat="1" ht="28.5" customHeight="1" thickBot="1" x14ac:dyDescent="0.3">
      <c r="A75" s="73"/>
      <c r="B75" s="74" t="s">
        <v>84</v>
      </c>
      <c r="C75" s="185" t="s">
        <v>85</v>
      </c>
      <c r="D75" s="185"/>
      <c r="E75" s="185"/>
      <c r="F75" s="185"/>
      <c r="G75" s="185"/>
      <c r="H75" s="186"/>
      <c r="I75" s="187"/>
      <c r="J75" s="74" t="s">
        <v>86</v>
      </c>
      <c r="K75" s="185" t="s">
        <v>87</v>
      </c>
      <c r="L75" s="185"/>
      <c r="M75" s="185"/>
      <c r="N75" s="185"/>
      <c r="O75" s="185"/>
      <c r="P75" s="186"/>
      <c r="R75"/>
    </row>
    <row r="76" spans="1:26" s="3" customFormat="1" ht="28.5" customHeight="1" thickBot="1" x14ac:dyDescent="0.3">
      <c r="B76" s="75" t="s">
        <v>88</v>
      </c>
      <c r="C76" s="189" t="s">
        <v>89</v>
      </c>
      <c r="D76" s="189"/>
      <c r="E76" s="189"/>
      <c r="F76" s="189"/>
      <c r="G76" s="189"/>
      <c r="H76" s="190"/>
      <c r="I76" s="188"/>
      <c r="J76" s="75" t="s">
        <v>90</v>
      </c>
      <c r="K76" s="189" t="s">
        <v>91</v>
      </c>
      <c r="L76" s="189"/>
      <c r="M76" s="189"/>
      <c r="N76" s="189"/>
      <c r="O76" s="189"/>
      <c r="P76" s="190"/>
      <c r="R76"/>
    </row>
    <row r="77" spans="1:26" s="19" customFormat="1" ht="13.5" customHeight="1" x14ac:dyDescent="0.25">
      <c r="A77" s="76"/>
      <c r="B77" s="191"/>
      <c r="C77" s="194"/>
      <c r="D77" s="196"/>
      <c r="E77" s="196"/>
      <c r="F77" s="77" t="s">
        <v>79</v>
      </c>
      <c r="G77" s="77"/>
      <c r="H77" s="78"/>
      <c r="I77" s="79"/>
      <c r="J77" s="80"/>
      <c r="K77" s="197"/>
      <c r="L77" s="176"/>
      <c r="M77" s="179"/>
      <c r="N77" s="176"/>
      <c r="O77" s="176"/>
      <c r="P77" s="180"/>
      <c r="Q77" s="81"/>
      <c r="R77"/>
      <c r="S77" s="81"/>
      <c r="T77" s="81"/>
      <c r="U77" s="81"/>
      <c r="V77" s="81"/>
      <c r="W77" s="81"/>
      <c r="X77" s="81"/>
      <c r="Y77" s="81"/>
      <c r="Z77" s="81"/>
    </row>
    <row r="78" spans="1:26" s="19" customFormat="1" ht="13.5" customHeight="1" x14ac:dyDescent="0.25">
      <c r="A78" s="76"/>
      <c r="B78" s="192"/>
      <c r="C78" s="177"/>
      <c r="D78" s="177"/>
      <c r="E78" s="177"/>
      <c r="F78" s="82" t="s">
        <v>92</v>
      </c>
      <c r="G78" s="83"/>
      <c r="H78" s="84"/>
      <c r="I78" s="85"/>
      <c r="J78" s="86"/>
      <c r="K78" s="177"/>
      <c r="L78" s="177"/>
      <c r="M78" s="177"/>
      <c r="N78" s="177"/>
      <c r="O78" s="177"/>
      <c r="P78" s="181"/>
      <c r="Q78" s="81"/>
      <c r="R78"/>
      <c r="S78" s="81"/>
      <c r="T78" s="81"/>
      <c r="U78" s="81"/>
      <c r="V78" s="81"/>
      <c r="W78" s="81"/>
      <c r="X78" s="81"/>
      <c r="Y78" s="81"/>
      <c r="Z78" s="81"/>
    </row>
    <row r="79" spans="1:26" s="19" customFormat="1" ht="13.5" customHeight="1" x14ac:dyDescent="0.25">
      <c r="A79" s="76"/>
      <c r="B79" s="192"/>
      <c r="C79" s="177"/>
      <c r="D79" s="177"/>
      <c r="E79" s="177"/>
      <c r="F79" s="82" t="s">
        <v>93</v>
      </c>
      <c r="G79" s="83"/>
      <c r="H79" s="84"/>
      <c r="I79" s="85"/>
      <c r="J79" s="86"/>
      <c r="K79" s="177"/>
      <c r="L79" s="177"/>
      <c r="M79" s="177"/>
      <c r="N79" s="177"/>
      <c r="O79" s="177"/>
      <c r="P79" s="181"/>
      <c r="Q79" s="81"/>
      <c r="R79"/>
      <c r="S79" s="81"/>
      <c r="T79" s="81"/>
      <c r="U79" s="81"/>
      <c r="V79" s="81"/>
      <c r="W79" s="81"/>
      <c r="X79" s="81"/>
      <c r="Y79" s="81"/>
      <c r="Z79" s="81"/>
    </row>
    <row r="80" spans="1:26" s="19" customFormat="1" ht="13.5" customHeight="1" x14ac:dyDescent="0.25">
      <c r="A80" s="76"/>
      <c r="B80" s="192"/>
      <c r="C80" s="177"/>
      <c r="D80" s="177"/>
      <c r="E80" s="177"/>
      <c r="F80" s="82" t="s">
        <v>94</v>
      </c>
      <c r="G80" s="83"/>
      <c r="H80" s="84"/>
      <c r="I80" s="85"/>
      <c r="J80" s="86"/>
      <c r="K80" s="177"/>
      <c r="L80" s="177"/>
      <c r="M80" s="177"/>
      <c r="N80" s="177"/>
      <c r="O80" s="177"/>
      <c r="P80" s="181"/>
      <c r="Q80" s="81"/>
      <c r="R80"/>
      <c r="S80" s="81"/>
      <c r="T80" s="81"/>
      <c r="U80" s="81"/>
      <c r="V80" s="81"/>
      <c r="W80" s="81"/>
      <c r="X80" s="81"/>
      <c r="Y80" s="81"/>
      <c r="Z80" s="81"/>
    </row>
    <row r="81" spans="1:26" s="19" customFormat="1" ht="13.5" customHeight="1" x14ac:dyDescent="0.25">
      <c r="A81" s="76"/>
      <c r="B81" s="192"/>
      <c r="C81" s="195"/>
      <c r="D81" s="195"/>
      <c r="E81" s="177"/>
      <c r="F81" s="82" t="s">
        <v>95</v>
      </c>
      <c r="G81" s="83"/>
      <c r="H81" s="84"/>
      <c r="I81" s="85"/>
      <c r="J81" s="86"/>
      <c r="K81" s="177"/>
      <c r="L81" s="177"/>
      <c r="M81" s="177"/>
      <c r="N81" s="177"/>
      <c r="O81" s="177"/>
      <c r="P81" s="181"/>
      <c r="Q81" s="81"/>
      <c r="R81"/>
      <c r="S81" s="81"/>
      <c r="T81" s="81"/>
      <c r="U81" s="81"/>
      <c r="V81" s="81"/>
      <c r="W81" s="81"/>
      <c r="X81" s="81"/>
      <c r="Y81" s="81"/>
      <c r="Z81" s="81"/>
    </row>
    <row r="82" spans="1:26" s="19" customFormat="1" ht="13.5" customHeight="1" x14ac:dyDescent="0.25">
      <c r="A82" s="76"/>
      <c r="B82" s="192"/>
      <c r="C82" s="183"/>
      <c r="D82" s="184"/>
      <c r="E82" s="177"/>
      <c r="F82" s="82" t="s">
        <v>29</v>
      </c>
      <c r="G82" s="83"/>
      <c r="H82" s="84"/>
      <c r="I82" s="85"/>
      <c r="J82" s="86"/>
      <c r="K82" s="177"/>
      <c r="L82" s="177"/>
      <c r="M82" s="177"/>
      <c r="N82" s="177"/>
      <c r="O82" s="177"/>
      <c r="P82" s="181"/>
      <c r="Q82" s="81"/>
      <c r="R82"/>
      <c r="S82" s="81"/>
      <c r="T82" s="81"/>
      <c r="U82" s="81"/>
      <c r="V82" s="81"/>
      <c r="W82" s="81"/>
      <c r="X82" s="81"/>
      <c r="Y82" s="81"/>
      <c r="Z82" s="81"/>
    </row>
    <row r="83" spans="1:26" s="19" customFormat="1" ht="13.5" customHeight="1" x14ac:dyDescent="0.25">
      <c r="A83" s="76"/>
      <c r="B83" s="192"/>
      <c r="C83" s="177"/>
      <c r="D83" s="177"/>
      <c r="E83" s="177"/>
      <c r="F83" s="82" t="s">
        <v>96</v>
      </c>
      <c r="G83" s="83"/>
      <c r="H83" s="84"/>
      <c r="I83" s="85"/>
      <c r="J83" s="86"/>
      <c r="K83" s="177"/>
      <c r="L83" s="177"/>
      <c r="M83" s="177"/>
      <c r="N83" s="177"/>
      <c r="O83" s="177"/>
      <c r="P83" s="181"/>
      <c r="Q83" s="81"/>
      <c r="R83"/>
      <c r="S83" s="81"/>
      <c r="T83" s="81"/>
      <c r="U83" s="81"/>
      <c r="V83" s="81"/>
      <c r="W83" s="81"/>
      <c r="X83" s="81"/>
      <c r="Y83" s="81"/>
      <c r="Z83" s="81"/>
    </row>
    <row r="84" spans="1:26" s="19" customFormat="1" ht="13.5" customHeight="1" x14ac:dyDescent="0.25">
      <c r="A84" s="76"/>
      <c r="B84" s="192"/>
      <c r="C84" s="177"/>
      <c r="D84" s="177"/>
      <c r="E84" s="177"/>
      <c r="F84" s="82" t="s">
        <v>97</v>
      </c>
      <c r="G84" s="83"/>
      <c r="H84" s="84"/>
      <c r="I84" s="85"/>
      <c r="J84" s="86"/>
      <c r="K84" s="177"/>
      <c r="L84" s="177"/>
      <c r="M84" s="177"/>
      <c r="N84" s="177"/>
      <c r="O84" s="177"/>
      <c r="P84" s="181"/>
      <c r="Q84" s="81"/>
      <c r="R84"/>
      <c r="S84" s="81"/>
      <c r="T84" s="81"/>
      <c r="U84" s="81"/>
      <c r="V84" s="81"/>
      <c r="W84" s="81"/>
      <c r="X84" s="81"/>
      <c r="Y84" s="81"/>
      <c r="Z84" s="81"/>
    </row>
    <row r="85" spans="1:26" s="19" customFormat="1" ht="13.5" customHeight="1" x14ac:dyDescent="0.25">
      <c r="A85" s="76"/>
      <c r="B85" s="192"/>
      <c r="C85" s="177"/>
      <c r="D85" s="177"/>
      <c r="E85" s="177"/>
      <c r="F85" s="82" t="s">
        <v>98</v>
      </c>
      <c r="G85" s="83"/>
      <c r="H85" s="84"/>
      <c r="I85" s="85"/>
      <c r="J85" s="86"/>
      <c r="K85" s="177"/>
      <c r="L85" s="177"/>
      <c r="M85" s="177"/>
      <c r="N85" s="177"/>
      <c r="O85" s="177"/>
      <c r="P85" s="181"/>
      <c r="Q85" s="81"/>
      <c r="R85"/>
      <c r="S85" s="81"/>
      <c r="T85" s="81"/>
      <c r="U85" s="81"/>
      <c r="V85" s="81"/>
      <c r="W85" s="81"/>
      <c r="X85" s="81"/>
      <c r="Y85" s="81"/>
      <c r="Z85" s="81"/>
    </row>
    <row r="86" spans="1:26" s="19" customFormat="1" ht="13.5" customHeight="1" x14ac:dyDescent="0.25">
      <c r="A86" s="76"/>
      <c r="B86" s="192"/>
      <c r="C86" s="177"/>
      <c r="D86" s="177"/>
      <c r="E86" s="177"/>
      <c r="F86" s="82" t="s">
        <v>99</v>
      </c>
      <c r="G86" s="83"/>
      <c r="H86" s="84"/>
      <c r="I86" s="85"/>
      <c r="J86" s="86"/>
      <c r="K86" s="177"/>
      <c r="L86" s="177"/>
      <c r="M86" s="177"/>
      <c r="N86" s="177"/>
      <c r="O86" s="177"/>
      <c r="P86" s="181"/>
      <c r="Q86" s="81"/>
      <c r="R86"/>
      <c r="S86" s="81"/>
      <c r="T86" s="81"/>
      <c r="U86" s="81"/>
      <c r="V86" s="81"/>
      <c r="W86" s="81"/>
      <c r="X86" s="81"/>
      <c r="Y86" s="81"/>
      <c r="Z86" s="81"/>
    </row>
    <row r="87" spans="1:26" s="19" customFormat="1" ht="15.75" thickBot="1" x14ac:dyDescent="0.3">
      <c r="A87" s="76"/>
      <c r="B87" s="193"/>
      <c r="C87" s="178"/>
      <c r="D87" s="178"/>
      <c r="E87" s="178"/>
      <c r="F87" s="87" t="s">
        <v>30</v>
      </c>
      <c r="G87" s="87"/>
      <c r="H87" s="88"/>
      <c r="I87" s="89"/>
      <c r="J87" s="90"/>
      <c r="K87" s="178"/>
      <c r="L87" s="178"/>
      <c r="M87" s="178"/>
      <c r="N87" s="178"/>
      <c r="O87" s="178"/>
      <c r="P87" s="182"/>
      <c r="Q87" s="81"/>
      <c r="R87"/>
      <c r="S87" s="81"/>
      <c r="T87" s="81"/>
      <c r="U87" s="81"/>
      <c r="V87" s="81"/>
      <c r="W87" s="81"/>
      <c r="X87" s="81"/>
      <c r="Y87" s="81"/>
      <c r="Z87" s="81"/>
    </row>
    <row r="88" spans="1:26" s="3" customFormat="1" x14ac:dyDescent="0.25">
      <c r="A88" s="11"/>
      <c r="B88" s="164" t="s">
        <v>31</v>
      </c>
      <c r="C88" s="164"/>
      <c r="D88" s="164"/>
      <c r="E88" s="164"/>
      <c r="F88" s="164"/>
      <c r="G88" s="164"/>
      <c r="H88" s="164"/>
      <c r="I88" s="164"/>
      <c r="J88" s="164"/>
      <c r="K88" s="16">
        <f>ROUND(+M88/L88,3)</f>
        <v>0.51600000000000001</v>
      </c>
      <c r="L88" s="15">
        <f>SUM(L18:L87)</f>
        <v>0.16200000000000003</v>
      </c>
      <c r="M88" s="14">
        <f>SUM(M19:M87)</f>
        <v>8.3599999999999994E-2</v>
      </c>
      <c r="N88" s="12">
        <f>ROUND(SUM(N19:N87),0)</f>
        <v>100</v>
      </c>
      <c r="O88" s="166" t="s">
        <v>32</v>
      </c>
      <c r="P88" s="168"/>
      <c r="R88"/>
    </row>
    <row r="89" spans="1:26" s="3" customFormat="1" ht="15" customHeight="1" thickBot="1" x14ac:dyDescent="0.3">
      <c r="A89" s="11"/>
      <c r="B89" s="165"/>
      <c r="C89" s="165"/>
      <c r="D89" s="165"/>
      <c r="E89" s="165"/>
      <c r="F89" s="165"/>
      <c r="G89" s="165"/>
      <c r="H89" s="165"/>
      <c r="I89" s="165"/>
      <c r="J89" s="165"/>
      <c r="K89" s="13" t="s">
        <v>33</v>
      </c>
      <c r="L89" s="13" t="s">
        <v>49</v>
      </c>
      <c r="M89" s="13" t="s">
        <v>110</v>
      </c>
      <c r="N89" s="13" t="s">
        <v>34</v>
      </c>
      <c r="O89" s="167"/>
      <c r="P89" s="169"/>
      <c r="R89"/>
    </row>
    <row r="90" spans="1:26" ht="15" customHeight="1" thickBot="1" x14ac:dyDescent="0.3">
      <c r="A90" s="5"/>
      <c r="B90" s="170" t="s">
        <v>100</v>
      </c>
      <c r="C90" s="171"/>
      <c r="D90" s="171"/>
      <c r="E90" s="171"/>
      <c r="F90" s="172"/>
      <c r="G90" s="170" t="s">
        <v>101</v>
      </c>
      <c r="H90" s="171"/>
      <c r="I90" s="171"/>
      <c r="J90" s="171"/>
      <c r="K90" s="172"/>
      <c r="L90" s="173" t="s">
        <v>51</v>
      </c>
      <c r="M90" s="174"/>
      <c r="N90" s="174"/>
      <c r="O90" s="174"/>
      <c r="P90" s="175"/>
    </row>
    <row r="91" spans="1:26" ht="15" customHeight="1" x14ac:dyDescent="0.25">
      <c r="A91" s="5"/>
      <c r="B91" s="134"/>
      <c r="C91" s="135"/>
      <c r="D91" s="135"/>
      <c r="E91" s="135"/>
      <c r="F91" s="136"/>
      <c r="G91" s="134"/>
      <c r="H91" s="135"/>
      <c r="I91" s="135"/>
      <c r="J91" s="135"/>
      <c r="K91" s="136"/>
      <c r="L91" s="143" t="s">
        <v>102</v>
      </c>
      <c r="M91" s="144"/>
      <c r="N91" s="144"/>
      <c r="O91" s="145">
        <f>+AVERAGE(E18:E68)</f>
        <v>8.7399999999999992E-2</v>
      </c>
      <c r="P91" s="146"/>
    </row>
    <row r="92" spans="1:26" ht="15" customHeight="1" thickBot="1" x14ac:dyDescent="0.3">
      <c r="A92" s="5"/>
      <c r="B92" s="137"/>
      <c r="C92" s="138"/>
      <c r="D92" s="138"/>
      <c r="E92" s="138"/>
      <c r="F92" s="139"/>
      <c r="G92" s="137"/>
      <c r="H92" s="138"/>
      <c r="I92" s="138"/>
      <c r="J92" s="138"/>
      <c r="K92" s="139"/>
      <c r="L92" s="147" t="s">
        <v>103</v>
      </c>
      <c r="M92" s="148"/>
      <c r="N92" s="148"/>
      <c r="O92" s="149">
        <f>+MAX(E18:E68)</f>
        <v>0.121</v>
      </c>
      <c r="P92" s="150"/>
    </row>
    <row r="93" spans="1:26" ht="18.600000000000001" customHeight="1" x14ac:dyDescent="0.25">
      <c r="A93" s="6"/>
      <c r="B93" s="137"/>
      <c r="C93" s="138"/>
      <c r="D93" s="138"/>
      <c r="E93" s="138"/>
      <c r="F93" s="139"/>
      <c r="G93" s="137"/>
      <c r="H93" s="138"/>
      <c r="I93" s="138"/>
      <c r="J93" s="138"/>
      <c r="K93" s="139"/>
      <c r="L93" s="151" t="s">
        <v>111</v>
      </c>
      <c r="M93" s="152"/>
      <c r="N93" s="152"/>
      <c r="O93" s="152"/>
      <c r="P93" s="153"/>
    </row>
    <row r="94" spans="1:26" ht="61.5" customHeight="1" x14ac:dyDescent="0.25">
      <c r="A94" s="10"/>
      <c r="B94" s="137"/>
      <c r="C94" s="138"/>
      <c r="D94" s="138"/>
      <c r="E94" s="138"/>
      <c r="F94" s="139"/>
      <c r="G94" s="137"/>
      <c r="H94" s="138"/>
      <c r="I94" s="138"/>
      <c r="J94" s="138"/>
      <c r="K94" s="139"/>
      <c r="L94" s="154"/>
      <c r="M94" s="155"/>
      <c r="N94" s="155"/>
      <c r="O94" s="155"/>
      <c r="P94" s="156"/>
    </row>
    <row r="95" spans="1:26" ht="15" customHeight="1" thickBot="1" x14ac:dyDescent="0.3">
      <c r="A95" s="5"/>
      <c r="B95" s="137"/>
      <c r="C95" s="138"/>
      <c r="D95" s="138"/>
      <c r="E95" s="138"/>
      <c r="F95" s="139"/>
      <c r="G95" s="137"/>
      <c r="H95" s="138"/>
      <c r="I95" s="138"/>
      <c r="J95" s="138"/>
      <c r="K95" s="139"/>
      <c r="L95" s="157"/>
      <c r="M95" s="158"/>
      <c r="N95" s="158"/>
      <c r="O95" s="158"/>
      <c r="P95" s="159"/>
    </row>
    <row r="96" spans="1:26" ht="22.5" customHeight="1" thickBot="1" x14ac:dyDescent="0.3">
      <c r="A96" s="5"/>
      <c r="B96" s="137"/>
      <c r="C96" s="138"/>
      <c r="D96" s="138"/>
      <c r="E96" s="138"/>
      <c r="F96" s="139"/>
      <c r="G96" s="137"/>
      <c r="H96" s="138"/>
      <c r="I96" s="138"/>
      <c r="J96" s="138"/>
      <c r="K96" s="139"/>
      <c r="L96" s="160" t="s">
        <v>35</v>
      </c>
      <c r="M96" s="161"/>
      <c r="N96" s="161"/>
      <c r="O96" s="161"/>
      <c r="P96" s="99">
        <v>6.73</v>
      </c>
    </row>
    <row r="97" spans="1:18" ht="32.25" customHeight="1" thickBot="1" x14ac:dyDescent="0.3">
      <c r="A97" s="5"/>
      <c r="B97" s="140"/>
      <c r="C97" s="141"/>
      <c r="D97" s="141"/>
      <c r="E97" s="141"/>
      <c r="F97" s="142"/>
      <c r="G97" s="140"/>
      <c r="H97" s="141"/>
      <c r="I97" s="141"/>
      <c r="J97" s="141"/>
      <c r="K97" s="142"/>
      <c r="L97" s="162" t="s">
        <v>50</v>
      </c>
      <c r="M97" s="163"/>
      <c r="N97" s="163"/>
      <c r="O97" s="163"/>
      <c r="P97" s="99">
        <v>5.8040000000000003</v>
      </c>
      <c r="R97" s="100"/>
    </row>
    <row r="98" spans="1:18" ht="23.45" customHeight="1" thickBot="1" x14ac:dyDescent="0.3">
      <c r="A98" s="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</row>
    <row r="99" spans="1:18" ht="15.75" thickBot="1" x14ac:dyDescent="0.3">
      <c r="A99" s="118" t="s">
        <v>36</v>
      </c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20"/>
    </row>
    <row r="100" spans="1:18" ht="159" customHeight="1" thickBot="1" x14ac:dyDescent="0.3">
      <c r="A100" s="4"/>
      <c r="B100" s="309"/>
      <c r="C100" s="310"/>
      <c r="D100" s="310"/>
      <c r="E100" s="310"/>
      <c r="F100" s="311"/>
      <c r="G100" s="309"/>
      <c r="H100" s="310"/>
      <c r="I100" s="310"/>
      <c r="J100" s="310"/>
      <c r="K100" s="311"/>
      <c r="L100" s="309"/>
      <c r="M100" s="310"/>
      <c r="N100" s="310"/>
      <c r="O100" s="310"/>
      <c r="P100" s="312"/>
    </row>
    <row r="101" spans="1:18" s="9" customFormat="1" ht="32.450000000000003" customHeight="1" thickBot="1" x14ac:dyDescent="0.3">
      <c r="A101" s="101"/>
      <c r="B101" s="313" t="s">
        <v>52</v>
      </c>
      <c r="C101" s="314"/>
      <c r="D101" s="314"/>
      <c r="E101" s="314"/>
      <c r="F101" s="315"/>
      <c r="G101" s="316" t="s">
        <v>112</v>
      </c>
      <c r="H101" s="314"/>
      <c r="I101" s="314"/>
      <c r="J101" s="314"/>
      <c r="K101" s="317"/>
      <c r="L101" s="318" t="s">
        <v>105</v>
      </c>
      <c r="M101" s="319"/>
      <c r="N101" s="319"/>
      <c r="O101" s="319"/>
      <c r="P101" s="320"/>
    </row>
    <row r="102" spans="1:18" s="9" customFormat="1" ht="37.15" customHeight="1" thickBot="1" x14ac:dyDescent="0.3">
      <c r="A102" s="8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3"/>
      <c r="R102"/>
    </row>
    <row r="103" spans="1:18" s="3" customFormat="1" ht="15.75" customHeight="1" thickBot="1" x14ac:dyDescent="0.3">
      <c r="A103" s="114" t="s">
        <v>37</v>
      </c>
      <c r="B103" s="115"/>
      <c r="C103" s="115"/>
      <c r="D103" s="115"/>
      <c r="E103" s="115"/>
      <c r="F103" s="115"/>
      <c r="G103" s="115"/>
      <c r="H103" s="115"/>
      <c r="I103" s="115"/>
      <c r="J103" s="115" t="s">
        <v>38</v>
      </c>
      <c r="K103" s="115"/>
      <c r="L103" s="115"/>
      <c r="M103" s="115"/>
      <c r="N103" s="115"/>
      <c r="O103" s="115"/>
      <c r="P103" s="116"/>
      <c r="R103"/>
    </row>
  </sheetData>
  <mergeCells count="20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F100"/>
    <mergeCell ref="G100:K100"/>
    <mergeCell ref="L100:P100"/>
    <mergeCell ref="B101:F101"/>
    <mergeCell ref="G101:K101"/>
    <mergeCell ref="L101:P101"/>
  </mergeCells>
  <printOptions horizontalCentered="1"/>
  <pageMargins left="0.35433070866141736" right="0.23622047244094491" top="0.74803149606299213" bottom="0.74803149606299213" header="0.19685039370078741" footer="0.31496062992125984"/>
  <pageSetup scale="62" fitToHeight="0" orientation="portrait" r:id="rId1"/>
  <headerFooter>
    <oddHeader>&amp;C&amp;"-,Negrita Cursiva"&amp;12Protocolo integrado de aforo en ríos de montaña Universidad Nacional de Colombia-Sede Manizales</oddHeader>
  </headerFooter>
  <rowBreaks count="1" manualBreakCount="1">
    <brk id="68" min="1" max="15" man="1"/>
  </rowBreaks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Planta y sección típica</vt:lpstr>
      <vt:lpstr>Aforo 1</vt:lpstr>
      <vt:lpstr>Aforo 2</vt:lpstr>
      <vt:lpstr>'Aforo 1'!Área_de_impresión</vt:lpstr>
      <vt:lpstr>'Aforo 2'!Área_de_impresión</vt:lpstr>
      <vt:lpstr>'Aforo 1'!Títulos_a_imprimir</vt:lpstr>
      <vt:lpstr>'Aforo 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2019-05-16T20:57:13Z</dcterms:modified>
</cp:coreProperties>
</file>